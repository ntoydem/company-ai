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edule" sheetId="1" state="visible" r:id="rId2"/>
    <sheet name="_meta" sheetId="2" state="hidden" r:id="rId3"/>
  </sheets>
  <definedNames>
    <definedName function="false" hidden="false" name="Annual_Rate_Pct" vbProcedure="false">Schedule!$B$4</definedName>
    <definedName function="false" hidden="false" name="First_Principal_Date" vbProcedure="false">Schedule!$B$5</definedName>
    <definedName function="false" hidden="false" name="Instalment_Count" vbProcedure="false">Schedule!$B$3</definedName>
    <definedName function="false" hidden="false" name="Ledger_DemoToday" vbProcedure="false">_meta!$B$4</definedName>
    <definedName function="false" hidden="false" name="Schedule_Final_Closing" vbProcedure="false">Schedule!$G$91</definedName>
    <definedName function="false" hidden="false" name="Total_Debt" vbProcedure="false">Schedule!$B$2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<sst xmlns="http://schemas.openxmlformats.org/spreadsheetml/2006/main" count="21" uniqueCount="21">
  <si>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Boztepe RES — Anapara Geri Ödeme Planı (84 Taksit)</t>
  </si>
  <si>
    <t xml:space="preserve">Toplam Kredi (USD)</t>
  </si>
  <si>
    <t xml:space="preserve">Taksit Sayısı</t>
  </si>
  <si>
    <t xml:space="preserve">Yıllık Faiz Oranı (swap + marj)</t>
  </si>
  <si>
    <t xml:space="preserve">İlk Anapara Vade Tarihi</t>
  </si>
  <si>
    <t xml:space="preserve">Taksit No</t>
  </si>
  <si>
    <t xml:space="preserve">Vade</t>
  </si>
  <si>
    <t xml:space="preserve">Açılış Bakiyesi (USD)</t>
  </si>
  <si>
    <t xml:space="preserve">Anapara (USD)</t>
  </si>
  <si>
    <t xml:space="preserve">Faiz (USD)</t>
  </si>
  <si>
    <t xml:space="preserve">Toplam Ödeme (USD)</t>
  </si>
  <si>
    <t xml:space="preserve">Kapanış Bakiyesi (USD)</t>
  </si>
  <si>
    <t xml:space="preserve">Kontrol: Son Kapanış Bakiyesi (0 olmalı)</t>
  </si>
  <si>
    <t xml:space="preserve">Not</t>
  </si>
  <si>
    <t xml:space="preserve">Son taksit (84) sabit 178.571,43 USD değil, o satırın açılış bakiyesine eşit — ilk 83 taksit (ROUND(15.000.000/84,2)=178.571,43) tam 15.000.000'a ulaşmadığı için (yuvarlama farkı 0,12 USD) son taksit bu farkı emer.</t>
  </si>
  <si>
    <t xml:space="preserve">DEMO — synthetic demo workbook (Company AI V0); figures are fictional</t>
  </si>
  <si>
    <t xml:space="preserve">generated_at</t>
  </si>
  <si>
    <t xml:space="preserve">2026-10-12T13:12:20+00:00</t>
  </si>
  <si>
    <t xml:space="preserve">ledger_schema_version</t>
  </si>
  <si>
    <t xml:space="preserve">demo_today</t>
  </si>
  <si>
    <t xml:space="preserve">2026-10-06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</si>
</sst>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%"/>
    <numFmt numFmtId="166" formatCode="dd\.mm\.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7" min="3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n">
        <v>15000000</v>
      </c>
    </row>
    <row r="3" customFormat="false" ht="15" hidden="false" customHeight="false" outlineLevel="0" collapsed="false">
      <c r="A3" s="0" t="s">
        <v>2</v>
      </c>
      <c r="B3" s="0" t="n">
        <v>84</v>
      </c>
    </row>
    <row r="4" customFormat="false" ht="15" hidden="false" customHeight="false" outlineLevel="0" collapsed="false">
      <c r="A4" s="0" t="s">
        <v>3</v>
      </c>
      <c r="B4" s="2" t="n">
        <v>0.06744</v>
      </c>
    </row>
    <row r="5" customFormat="false" ht="15" hidden="false" customHeight="false" outlineLevel="0" collapsed="false">
      <c r="A5" s="0" t="s">
        <v>4</v>
      </c>
      <c r="B5" s="3" t="n">
        <v>46447</v>
      </c>
    </row>
    <row r="7" customFormat="false" ht="15" hidden="false" customHeight="false" outlineLevel="0" collapsed="false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customFormat="false" ht="15" hidden="false" customHeight="false" outlineLevel="0" collapsed="false">
      <c r="A8" s="0" t="n">
        <v>1</v>
      </c>
      <c r="B8" s="3" t="n">
        <v>46447</v>
      </c>
      <c r="C8" s="0" t="n">
        <f aca="false">Total_Debt</f>
        <v>15000000</v>
      </c>
      <c r="D8" s="0" t="n">
        <f aca="false">ROUND(Total_Debt/Instalment_Count,2)</f>
        <v>178571.43</v>
      </c>
      <c r="E8" s="0" t="n">
        <f aca="false">ROUND(C8*Annual_Rate_Pct/12,2)</f>
        <v>84300</v>
      </c>
      <c r="F8" s="0" t="n">
        <f aca="false">D8+E8</f>
        <v>262871.43</v>
      </c>
      <c r="G8" s="0" t="n">
        <f aca="false">ROUND(C8-D8,2)</f>
        <v>14821428.57</v>
      </c>
    </row>
    <row r="9" customFormat="false" ht="15" hidden="false" customHeight="false" outlineLevel="0" collapsed="false">
      <c r="A9" s="0" t="n">
        <v>2</v>
      </c>
      <c r="B9" s="3" t="n">
        <v>46478</v>
      </c>
      <c r="C9" s="0" t="n">
        <f aca="false">G8</f>
        <v>14821428.57</v>
      </c>
      <c r="D9" s="0" t="n">
        <f aca="false">ROUND(Total_Debt/Instalment_Count,2)</f>
        <v>178571.43</v>
      </c>
      <c r="E9" s="0" t="n">
        <f aca="false">ROUND(C9*Annual_Rate_Pct/12,2)</f>
        <v>83296.43</v>
      </c>
      <c r="F9" s="0" t="n">
        <f aca="false">D9+E9</f>
        <v>261867.86</v>
      </c>
      <c r="G9" s="0" t="n">
        <f aca="false">ROUND(C9-D9,2)</f>
        <v>14642857.14</v>
      </c>
    </row>
    <row r="10" customFormat="false" ht="15" hidden="false" customHeight="false" outlineLevel="0" collapsed="false">
      <c r="A10" s="0" t="n">
        <v>3</v>
      </c>
      <c r="B10" s="3" t="n">
        <v>46508</v>
      </c>
      <c r="C10" s="0" t="n">
        <f aca="false">G9</f>
        <v>14642857.14</v>
      </c>
      <c r="D10" s="0" t="n">
        <f aca="false">ROUND(Total_Debt/Instalment_Count,2)</f>
        <v>178571.43</v>
      </c>
      <c r="E10" s="0" t="n">
        <f aca="false">ROUND(C10*Annual_Rate_Pct/12,2)</f>
        <v>82292.86</v>
      </c>
      <c r="F10" s="0" t="n">
        <f aca="false">D10+E10</f>
        <v>260864.29</v>
      </c>
      <c r="G10" s="0" t="n">
        <f aca="false">ROUND(C10-D10,2)</f>
        <v>14464285.71</v>
      </c>
    </row>
    <row r="11" customFormat="false" ht="15" hidden="false" customHeight="false" outlineLevel="0" collapsed="false">
      <c r="A11" s="0" t="n">
        <v>4</v>
      </c>
      <c r="B11" s="3" t="n">
        <v>46539</v>
      </c>
      <c r="C11" s="0" t="n">
        <f aca="false">G10</f>
        <v>14464285.71</v>
      </c>
      <c r="D11" s="0" t="n">
        <f aca="false">ROUND(Total_Debt/Instalment_Count,2)</f>
        <v>178571.43</v>
      </c>
      <c r="E11" s="0" t="n">
        <f aca="false">ROUND(C11*Annual_Rate_Pct/12,2)</f>
        <v>81289.29</v>
      </c>
      <c r="F11" s="0" t="n">
        <f aca="false">D11+E11</f>
        <v>259860.72</v>
      </c>
      <c r="G11" s="0" t="n">
        <f aca="false">ROUND(C11-D11,2)</f>
        <v>14285714.28</v>
      </c>
    </row>
    <row r="12" customFormat="false" ht="15" hidden="false" customHeight="false" outlineLevel="0" collapsed="false">
      <c r="A12" s="0" t="n">
        <v>5</v>
      </c>
      <c r="B12" s="3" t="n">
        <v>46569</v>
      </c>
      <c r="C12" s="0" t="n">
        <f aca="false">G11</f>
        <v>14285714.28</v>
      </c>
      <c r="D12" s="0" t="n">
        <f aca="false">ROUND(Total_Debt/Instalment_Count,2)</f>
        <v>178571.43</v>
      </c>
      <c r="E12" s="0" t="n">
        <f aca="false">ROUND(C12*Annual_Rate_Pct/12,2)</f>
        <v>80285.71</v>
      </c>
      <c r="F12" s="0" t="n">
        <f aca="false">D12+E12</f>
        <v>258857.14</v>
      </c>
      <c r="G12" s="0" t="n">
        <f aca="false">ROUND(C12-D12,2)</f>
        <v>14107142.85</v>
      </c>
    </row>
    <row r="13" customFormat="false" ht="15" hidden="false" customHeight="false" outlineLevel="0" collapsed="false">
      <c r="A13" s="0" t="n">
        <v>6</v>
      </c>
      <c r="B13" s="3" t="n">
        <v>46600</v>
      </c>
      <c r="C13" s="0" t="n">
        <f aca="false">G12</f>
        <v>14107142.85</v>
      </c>
      <c r="D13" s="0" t="n">
        <f aca="false">ROUND(Total_Debt/Instalment_Count,2)</f>
        <v>178571.43</v>
      </c>
      <c r="E13" s="0" t="n">
        <f aca="false">ROUND(C13*Annual_Rate_Pct/12,2)</f>
        <v>79282.14</v>
      </c>
      <c r="F13" s="0" t="n">
        <f aca="false">D13+E13</f>
        <v>257853.57</v>
      </c>
      <c r="G13" s="0" t="n">
        <f aca="false">ROUND(C13-D13,2)</f>
        <v>13928571.42</v>
      </c>
    </row>
    <row r="14" customFormat="false" ht="15" hidden="false" customHeight="false" outlineLevel="0" collapsed="false">
      <c r="A14" s="0" t="n">
        <v>7</v>
      </c>
      <c r="B14" s="3" t="n">
        <v>46631</v>
      </c>
      <c r="C14" s="0" t="n">
        <f aca="false">G13</f>
        <v>13928571.42</v>
      </c>
      <c r="D14" s="0" t="n">
        <f aca="false">ROUND(Total_Debt/Instalment_Count,2)</f>
        <v>178571.43</v>
      </c>
      <c r="E14" s="0" t="n">
        <f aca="false">ROUND(C14*Annual_Rate_Pct/12,2)</f>
        <v>78278.57</v>
      </c>
      <c r="F14" s="0" t="n">
        <f aca="false">D14+E14</f>
        <v>256850</v>
      </c>
      <c r="G14" s="0" t="n">
        <f aca="false">ROUND(C14-D14,2)</f>
        <v>13749999.99</v>
      </c>
    </row>
    <row r="15" customFormat="false" ht="15" hidden="false" customHeight="false" outlineLevel="0" collapsed="false">
      <c r="A15" s="0" t="n">
        <v>8</v>
      </c>
      <c r="B15" s="3" t="n">
        <v>46661</v>
      </c>
      <c r="C15" s="0" t="n">
        <f aca="false">G14</f>
        <v>13749999.99</v>
      </c>
      <c r="D15" s="0" t="n">
        <f aca="false">ROUND(Total_Debt/Instalment_Count,2)</f>
        <v>178571.43</v>
      </c>
      <c r="E15" s="0" t="n">
        <f aca="false">ROUND(C15*Annual_Rate_Pct/12,2)</f>
        <v>77275</v>
      </c>
      <c r="F15" s="0" t="n">
        <f aca="false">D15+E15</f>
        <v>255846.43</v>
      </c>
      <c r="G15" s="0" t="n">
        <f aca="false">ROUND(C15-D15,2)</f>
        <v>13571428.56</v>
      </c>
    </row>
    <row r="16" customFormat="false" ht="15" hidden="false" customHeight="false" outlineLevel="0" collapsed="false">
      <c r="A16" s="0" t="n">
        <v>9</v>
      </c>
      <c r="B16" s="3" t="n">
        <v>46692</v>
      </c>
      <c r="C16" s="0" t="n">
        <f aca="false">G15</f>
        <v>13571428.56</v>
      </c>
      <c r="D16" s="0" t="n">
        <f aca="false">ROUND(Total_Debt/Instalment_Count,2)</f>
        <v>178571.43</v>
      </c>
      <c r="E16" s="0" t="n">
        <f aca="false">ROUND(C16*Annual_Rate_Pct/12,2)</f>
        <v>76271.43</v>
      </c>
      <c r="F16" s="0" t="n">
        <f aca="false">D16+E16</f>
        <v>254842.86</v>
      </c>
      <c r="G16" s="0" t="n">
        <f aca="false">ROUND(C16-D16,2)</f>
        <v>13392857.13</v>
      </c>
    </row>
    <row r="17" customFormat="false" ht="15" hidden="false" customHeight="false" outlineLevel="0" collapsed="false">
      <c r="A17" s="0" t="n">
        <v>10</v>
      </c>
      <c r="B17" s="3" t="n">
        <v>46722</v>
      </c>
      <c r="C17" s="0" t="n">
        <f aca="false">G16</f>
        <v>13392857.13</v>
      </c>
      <c r="D17" s="0" t="n">
        <f aca="false">ROUND(Total_Debt/Instalment_Count,2)</f>
        <v>178571.43</v>
      </c>
      <c r="E17" s="0" t="n">
        <f aca="false">ROUND(C17*Annual_Rate_Pct/12,2)</f>
        <v>75267.86</v>
      </c>
      <c r="F17" s="0" t="n">
        <f aca="false">D17+E17</f>
        <v>253839.29</v>
      </c>
      <c r="G17" s="0" t="n">
        <f aca="false">ROUND(C17-D17,2)</f>
        <v>13214285.7</v>
      </c>
    </row>
    <row r="18" customFormat="false" ht="15" hidden="false" customHeight="false" outlineLevel="0" collapsed="false">
      <c r="A18" s="0" t="n">
        <v>11</v>
      </c>
      <c r="B18" s="3" t="n">
        <v>46753</v>
      </c>
      <c r="C18" s="0" t="n">
        <f aca="false">G17</f>
        <v>13214285.7</v>
      </c>
      <c r="D18" s="0" t="n">
        <f aca="false">ROUND(Total_Debt/Instalment_Count,2)</f>
        <v>178571.43</v>
      </c>
      <c r="E18" s="0" t="n">
        <f aca="false">ROUND(C18*Annual_Rate_Pct/12,2)</f>
        <v>74264.29</v>
      </c>
      <c r="F18" s="0" t="n">
        <f aca="false">D18+E18</f>
        <v>252835.72</v>
      </c>
      <c r="G18" s="0" t="n">
        <f aca="false">ROUND(C18-D18,2)</f>
        <v>13035714.27</v>
      </c>
    </row>
    <row r="19" customFormat="false" ht="15" hidden="false" customHeight="false" outlineLevel="0" collapsed="false">
      <c r="A19" s="0" t="n">
        <v>12</v>
      </c>
      <c r="B19" s="3" t="n">
        <v>46784</v>
      </c>
      <c r="C19" s="0" t="n">
        <f aca="false">G18</f>
        <v>13035714.27</v>
      </c>
      <c r="D19" s="0" t="n">
        <f aca="false">ROUND(Total_Debt/Instalment_Count,2)</f>
        <v>178571.43</v>
      </c>
      <c r="E19" s="0" t="n">
        <f aca="false">ROUND(C19*Annual_Rate_Pct/12,2)</f>
        <v>73260.71</v>
      </c>
      <c r="F19" s="0" t="n">
        <f aca="false">D19+E19</f>
        <v>251832.14</v>
      </c>
      <c r="G19" s="0" t="n">
        <f aca="false">ROUND(C19-D19,2)</f>
        <v>12857142.84</v>
      </c>
    </row>
    <row r="20" customFormat="false" ht="15" hidden="false" customHeight="false" outlineLevel="0" collapsed="false">
      <c r="A20" s="0" t="n">
        <v>13</v>
      </c>
      <c r="B20" s="3" t="n">
        <v>46813</v>
      </c>
      <c r="C20" s="0" t="n">
        <f aca="false">G19</f>
        <v>12857142.84</v>
      </c>
      <c r="D20" s="0" t="n">
        <f aca="false">ROUND(Total_Debt/Instalment_Count,2)</f>
        <v>178571.43</v>
      </c>
      <c r="E20" s="0" t="n">
        <f aca="false">ROUND(C20*Annual_Rate_Pct/12,2)</f>
        <v>72257.14</v>
      </c>
      <c r="F20" s="0" t="n">
        <f aca="false">D20+E20</f>
        <v>250828.57</v>
      </c>
      <c r="G20" s="0" t="n">
        <f aca="false">ROUND(C20-D20,2)</f>
        <v>12678571.41</v>
      </c>
    </row>
    <row r="21" customFormat="false" ht="15" hidden="false" customHeight="false" outlineLevel="0" collapsed="false">
      <c r="A21" s="0" t="n">
        <v>14</v>
      </c>
      <c r="B21" s="3" t="n">
        <v>46844</v>
      </c>
      <c r="C21" s="0" t="n">
        <f aca="false">G20</f>
        <v>12678571.41</v>
      </c>
      <c r="D21" s="0" t="n">
        <f aca="false">ROUND(Total_Debt/Instalment_Count,2)</f>
        <v>178571.43</v>
      </c>
      <c r="E21" s="0" t="n">
        <f aca="false">ROUND(C21*Annual_Rate_Pct/12,2)</f>
        <v>71253.57</v>
      </c>
      <c r="F21" s="0" t="n">
        <f aca="false">D21+E21</f>
        <v>249825</v>
      </c>
      <c r="G21" s="0" t="n">
        <f aca="false">ROUND(C21-D21,2)</f>
        <v>12499999.98</v>
      </c>
    </row>
    <row r="22" customFormat="false" ht="15" hidden="false" customHeight="false" outlineLevel="0" collapsed="false">
      <c r="A22" s="0" t="n">
        <v>15</v>
      </c>
      <c r="B22" s="3" t="n">
        <v>46874</v>
      </c>
      <c r="C22" s="0" t="n">
        <f aca="false">G21</f>
        <v>12499999.98</v>
      </c>
      <c r="D22" s="0" t="n">
        <f aca="false">ROUND(Total_Debt/Instalment_Count,2)</f>
        <v>178571.43</v>
      </c>
      <c r="E22" s="0" t="n">
        <f aca="false">ROUND(C22*Annual_Rate_Pct/12,2)</f>
        <v>70250</v>
      </c>
      <c r="F22" s="0" t="n">
        <f aca="false">D22+E22</f>
        <v>248821.43</v>
      </c>
      <c r="G22" s="0" t="n">
        <f aca="false">ROUND(C22-D22,2)</f>
        <v>12321428.55</v>
      </c>
    </row>
    <row r="23" customFormat="false" ht="15" hidden="false" customHeight="false" outlineLevel="0" collapsed="false">
      <c r="A23" s="0" t="n">
        <v>16</v>
      </c>
      <c r="B23" s="3" t="n">
        <v>46905</v>
      </c>
      <c r="C23" s="0" t="n">
        <f aca="false">G22</f>
        <v>12321428.55</v>
      </c>
      <c r="D23" s="0" t="n">
        <f aca="false">ROUND(Total_Debt/Instalment_Count,2)</f>
        <v>178571.43</v>
      </c>
      <c r="E23" s="0" t="n">
        <f aca="false">ROUND(C23*Annual_Rate_Pct/12,2)</f>
        <v>69246.43</v>
      </c>
      <c r="F23" s="0" t="n">
        <f aca="false">D23+E23</f>
        <v>247817.86</v>
      </c>
      <c r="G23" s="0" t="n">
        <f aca="false">ROUND(C23-D23,2)</f>
        <v>12142857.12</v>
      </c>
    </row>
    <row r="24" customFormat="false" ht="15" hidden="false" customHeight="false" outlineLevel="0" collapsed="false">
      <c r="A24" s="0" t="n">
        <v>17</v>
      </c>
      <c r="B24" s="3" t="n">
        <v>46935</v>
      </c>
      <c r="C24" s="0" t="n">
        <f aca="false">G23</f>
        <v>12142857.12</v>
      </c>
      <c r="D24" s="0" t="n">
        <f aca="false">ROUND(Total_Debt/Instalment_Count,2)</f>
        <v>178571.43</v>
      </c>
      <c r="E24" s="0" t="n">
        <f aca="false">ROUND(C24*Annual_Rate_Pct/12,2)</f>
        <v>68242.86</v>
      </c>
      <c r="F24" s="0" t="n">
        <f aca="false">D24+E24</f>
        <v>246814.29</v>
      </c>
      <c r="G24" s="0" t="n">
        <f aca="false">ROUND(C24-D24,2)</f>
        <v>11964285.69</v>
      </c>
    </row>
    <row r="25" customFormat="false" ht="15" hidden="false" customHeight="false" outlineLevel="0" collapsed="false">
      <c r="A25" s="0" t="n">
        <v>18</v>
      </c>
      <c r="B25" s="3" t="n">
        <v>46966</v>
      </c>
      <c r="C25" s="0" t="n">
        <f aca="false">G24</f>
        <v>11964285.69</v>
      </c>
      <c r="D25" s="0" t="n">
        <f aca="false">ROUND(Total_Debt/Instalment_Count,2)</f>
        <v>178571.43</v>
      </c>
      <c r="E25" s="0" t="n">
        <f aca="false">ROUND(C25*Annual_Rate_Pct/12,2)</f>
        <v>67239.29</v>
      </c>
      <c r="F25" s="0" t="n">
        <f aca="false">D25+E25</f>
        <v>245810.72</v>
      </c>
      <c r="G25" s="0" t="n">
        <f aca="false">ROUND(C25-D25,2)</f>
        <v>11785714.26</v>
      </c>
    </row>
    <row r="26" customFormat="false" ht="15" hidden="false" customHeight="false" outlineLevel="0" collapsed="false">
      <c r="A26" s="0" t="n">
        <v>19</v>
      </c>
      <c r="B26" s="3" t="n">
        <v>46997</v>
      </c>
      <c r="C26" s="0" t="n">
        <f aca="false">G25</f>
        <v>11785714.26</v>
      </c>
      <c r="D26" s="0" t="n">
        <f aca="false">ROUND(Total_Debt/Instalment_Count,2)</f>
        <v>178571.43</v>
      </c>
      <c r="E26" s="0" t="n">
        <f aca="false">ROUND(C26*Annual_Rate_Pct/12,2)</f>
        <v>66235.71</v>
      </c>
      <c r="F26" s="0" t="n">
        <f aca="false">D26+E26</f>
        <v>244807.14</v>
      </c>
      <c r="G26" s="0" t="n">
        <f aca="false">ROUND(C26-D26,2)</f>
        <v>11607142.83</v>
      </c>
    </row>
    <row r="27" customFormat="false" ht="15" hidden="false" customHeight="false" outlineLevel="0" collapsed="false">
      <c r="A27" s="0" t="n">
        <v>20</v>
      </c>
      <c r="B27" s="3" t="n">
        <v>47027</v>
      </c>
      <c r="C27" s="0" t="n">
        <f aca="false">G26</f>
        <v>11607142.83</v>
      </c>
      <c r="D27" s="0" t="n">
        <f aca="false">ROUND(Total_Debt/Instalment_Count,2)</f>
        <v>178571.43</v>
      </c>
      <c r="E27" s="0" t="n">
        <f aca="false">ROUND(C27*Annual_Rate_Pct/12,2)</f>
        <v>65232.14</v>
      </c>
      <c r="F27" s="0" t="n">
        <f aca="false">D27+E27</f>
        <v>243803.57</v>
      </c>
      <c r="G27" s="0" t="n">
        <f aca="false">ROUND(C27-D27,2)</f>
        <v>11428571.4</v>
      </c>
    </row>
    <row r="28" customFormat="false" ht="15" hidden="false" customHeight="false" outlineLevel="0" collapsed="false">
      <c r="A28" s="0" t="n">
        <v>21</v>
      </c>
      <c r="B28" s="3" t="n">
        <v>47058</v>
      </c>
      <c r="C28" s="0" t="n">
        <f aca="false">G27</f>
        <v>11428571.4</v>
      </c>
      <c r="D28" s="0" t="n">
        <f aca="false">ROUND(Total_Debt/Instalment_Count,2)</f>
        <v>178571.43</v>
      </c>
      <c r="E28" s="0" t="n">
        <f aca="false">ROUND(C28*Annual_Rate_Pct/12,2)</f>
        <v>64228.57</v>
      </c>
      <c r="F28" s="0" t="n">
        <f aca="false">D28+E28</f>
        <v>242800</v>
      </c>
      <c r="G28" s="0" t="n">
        <f aca="false">ROUND(C28-D28,2)</f>
        <v>11249999.97</v>
      </c>
    </row>
    <row r="29" customFormat="false" ht="15" hidden="false" customHeight="false" outlineLevel="0" collapsed="false">
      <c r="A29" s="0" t="n">
        <v>22</v>
      </c>
      <c r="B29" s="3" t="n">
        <v>47088</v>
      </c>
      <c r="C29" s="0" t="n">
        <f aca="false">G28</f>
        <v>11249999.97</v>
      </c>
      <c r="D29" s="0" t="n">
        <f aca="false">ROUND(Total_Debt/Instalment_Count,2)</f>
        <v>178571.43</v>
      </c>
      <c r="E29" s="0" t="n">
        <f aca="false">ROUND(C29*Annual_Rate_Pct/12,2)</f>
        <v>63225</v>
      </c>
      <c r="F29" s="0" t="n">
        <f aca="false">D29+E29</f>
        <v>241796.43</v>
      </c>
      <c r="G29" s="0" t="n">
        <f aca="false">ROUND(C29-D29,2)</f>
        <v>11071428.54</v>
      </c>
    </row>
    <row r="30" customFormat="false" ht="15" hidden="false" customHeight="false" outlineLevel="0" collapsed="false">
      <c r="A30" s="0" t="n">
        <v>23</v>
      </c>
      <c r="B30" s="3" t="n">
        <v>47119</v>
      </c>
      <c r="C30" s="0" t="n">
        <f aca="false">G29</f>
        <v>11071428.54</v>
      </c>
      <c r="D30" s="0" t="n">
        <f aca="false">ROUND(Total_Debt/Instalment_Count,2)</f>
        <v>178571.43</v>
      </c>
      <c r="E30" s="0" t="n">
        <f aca="false">ROUND(C30*Annual_Rate_Pct/12,2)</f>
        <v>62221.43</v>
      </c>
      <c r="F30" s="0" t="n">
        <f aca="false">D30+E30</f>
        <v>240792.86</v>
      </c>
      <c r="G30" s="0" t="n">
        <f aca="false">ROUND(C30-D30,2)</f>
        <v>10892857.11</v>
      </c>
    </row>
    <row r="31" customFormat="false" ht="15" hidden="false" customHeight="false" outlineLevel="0" collapsed="false">
      <c r="A31" s="0" t="n">
        <v>24</v>
      </c>
      <c r="B31" s="3" t="n">
        <v>47150</v>
      </c>
      <c r="C31" s="0" t="n">
        <f aca="false">G30</f>
        <v>10892857.11</v>
      </c>
      <c r="D31" s="0" t="n">
        <f aca="false">ROUND(Total_Debt/Instalment_Count,2)</f>
        <v>178571.43</v>
      </c>
      <c r="E31" s="0" t="n">
        <f aca="false">ROUND(C31*Annual_Rate_Pct/12,2)</f>
        <v>61217.86</v>
      </c>
      <c r="F31" s="0" t="n">
        <f aca="false">D31+E31</f>
        <v>239789.29</v>
      </c>
      <c r="G31" s="0" t="n">
        <f aca="false">ROUND(C31-D31,2)</f>
        <v>10714285.68</v>
      </c>
    </row>
    <row r="32" customFormat="false" ht="15" hidden="false" customHeight="false" outlineLevel="0" collapsed="false">
      <c r="A32" s="0" t="n">
        <v>25</v>
      </c>
      <c r="B32" s="3" t="n">
        <v>47178</v>
      </c>
      <c r="C32" s="0" t="n">
        <f aca="false">G31</f>
        <v>10714285.68</v>
      </c>
      <c r="D32" s="0" t="n">
        <f aca="false">ROUND(Total_Debt/Instalment_Count,2)</f>
        <v>178571.43</v>
      </c>
      <c r="E32" s="0" t="n">
        <f aca="false">ROUND(C32*Annual_Rate_Pct/12,2)</f>
        <v>60214.29</v>
      </c>
      <c r="F32" s="0" t="n">
        <f aca="false">D32+E32</f>
        <v>238785.72</v>
      </c>
      <c r="G32" s="0" t="n">
        <f aca="false">ROUND(C32-D32,2)</f>
        <v>10535714.25</v>
      </c>
    </row>
    <row r="33" customFormat="false" ht="15" hidden="false" customHeight="false" outlineLevel="0" collapsed="false">
      <c r="A33" s="0" t="n">
        <v>26</v>
      </c>
      <c r="B33" s="3" t="n">
        <v>47209</v>
      </c>
      <c r="C33" s="0" t="n">
        <f aca="false">G32</f>
        <v>10535714.25</v>
      </c>
      <c r="D33" s="0" t="n">
        <f aca="false">ROUND(Total_Debt/Instalment_Count,2)</f>
        <v>178571.43</v>
      </c>
      <c r="E33" s="0" t="n">
        <f aca="false">ROUND(C33*Annual_Rate_Pct/12,2)</f>
        <v>59210.71</v>
      </c>
      <c r="F33" s="0" t="n">
        <f aca="false">D33+E33</f>
        <v>237782.14</v>
      </c>
      <c r="G33" s="0" t="n">
        <f aca="false">ROUND(C33-D33,2)</f>
        <v>10357142.82</v>
      </c>
    </row>
    <row r="34" customFormat="false" ht="15" hidden="false" customHeight="false" outlineLevel="0" collapsed="false">
      <c r="A34" s="0" t="n">
        <v>27</v>
      </c>
      <c r="B34" s="3" t="n">
        <v>47239</v>
      </c>
      <c r="C34" s="0" t="n">
        <f aca="false">G33</f>
        <v>10357142.82</v>
      </c>
      <c r="D34" s="0" t="n">
        <f aca="false">ROUND(Total_Debt/Instalment_Count,2)</f>
        <v>178571.43</v>
      </c>
      <c r="E34" s="0" t="n">
        <f aca="false">ROUND(C34*Annual_Rate_Pct/12,2)</f>
        <v>58207.14</v>
      </c>
      <c r="F34" s="0" t="n">
        <f aca="false">D34+E34</f>
        <v>236778.57</v>
      </c>
      <c r="G34" s="0" t="n">
        <f aca="false">ROUND(C34-D34,2)</f>
        <v>10178571.39</v>
      </c>
    </row>
    <row r="35" customFormat="false" ht="15" hidden="false" customHeight="false" outlineLevel="0" collapsed="false">
      <c r="A35" s="0" t="n">
        <v>28</v>
      </c>
      <c r="B35" s="3" t="n">
        <v>47270</v>
      </c>
      <c r="C35" s="0" t="n">
        <f aca="false">G34</f>
        <v>10178571.39</v>
      </c>
      <c r="D35" s="0" t="n">
        <f aca="false">ROUND(Total_Debt/Instalment_Count,2)</f>
        <v>178571.43</v>
      </c>
      <c r="E35" s="0" t="n">
        <f aca="false">ROUND(C35*Annual_Rate_Pct/12,2)</f>
        <v>57203.57</v>
      </c>
      <c r="F35" s="0" t="n">
        <f aca="false">D35+E35</f>
        <v>235775</v>
      </c>
      <c r="G35" s="0" t="n">
        <f aca="false">ROUND(C35-D35,2)</f>
        <v>9999999.96</v>
      </c>
    </row>
    <row r="36" customFormat="false" ht="15" hidden="false" customHeight="false" outlineLevel="0" collapsed="false">
      <c r="A36" s="0" t="n">
        <v>29</v>
      </c>
      <c r="B36" s="3" t="n">
        <v>47300</v>
      </c>
      <c r="C36" s="0" t="n">
        <f aca="false">G35</f>
        <v>9999999.96</v>
      </c>
      <c r="D36" s="0" t="n">
        <f aca="false">ROUND(Total_Debt/Instalment_Count,2)</f>
        <v>178571.43</v>
      </c>
      <c r="E36" s="0" t="n">
        <f aca="false">ROUND(C36*Annual_Rate_Pct/12,2)</f>
        <v>56200</v>
      </c>
      <c r="F36" s="0" t="n">
        <f aca="false">D36+E36</f>
        <v>234771.43</v>
      </c>
      <c r="G36" s="0" t="n">
        <f aca="false">ROUND(C36-D36,2)</f>
        <v>9821428.53</v>
      </c>
    </row>
    <row r="37" customFormat="false" ht="15" hidden="false" customHeight="false" outlineLevel="0" collapsed="false">
      <c r="A37" s="0" t="n">
        <v>30</v>
      </c>
      <c r="B37" s="3" t="n">
        <v>47331</v>
      </c>
      <c r="C37" s="0" t="n">
        <f aca="false">G36</f>
        <v>9821428.53</v>
      </c>
      <c r="D37" s="0" t="n">
        <f aca="false">ROUND(Total_Debt/Instalment_Count,2)</f>
        <v>178571.43</v>
      </c>
      <c r="E37" s="0" t="n">
        <f aca="false">ROUND(C37*Annual_Rate_Pct/12,2)</f>
        <v>55196.43</v>
      </c>
      <c r="F37" s="0" t="n">
        <f aca="false">D37+E37</f>
        <v>233767.86</v>
      </c>
      <c r="G37" s="0" t="n">
        <f aca="false">ROUND(C37-D37,2)</f>
        <v>9642857.1</v>
      </c>
    </row>
    <row r="38" customFormat="false" ht="15" hidden="false" customHeight="false" outlineLevel="0" collapsed="false">
      <c r="A38" s="0" t="n">
        <v>31</v>
      </c>
      <c r="B38" s="3" t="n">
        <v>47362</v>
      </c>
      <c r="C38" s="0" t="n">
        <f aca="false">G37</f>
        <v>9642857.1</v>
      </c>
      <c r="D38" s="0" t="n">
        <f aca="false">ROUND(Total_Debt/Instalment_Count,2)</f>
        <v>178571.43</v>
      </c>
      <c r="E38" s="0" t="n">
        <f aca="false">ROUND(C38*Annual_Rate_Pct/12,2)</f>
        <v>54192.86</v>
      </c>
      <c r="F38" s="0" t="n">
        <f aca="false">D38+E38</f>
        <v>232764.29</v>
      </c>
      <c r="G38" s="0" t="n">
        <f aca="false">ROUND(C38-D38,2)</f>
        <v>9464285.67</v>
      </c>
    </row>
    <row r="39" customFormat="false" ht="15" hidden="false" customHeight="false" outlineLevel="0" collapsed="false">
      <c r="A39" s="0" t="n">
        <v>32</v>
      </c>
      <c r="B39" s="3" t="n">
        <v>47392</v>
      </c>
      <c r="C39" s="0" t="n">
        <f aca="false">G38</f>
        <v>9464285.67</v>
      </c>
      <c r="D39" s="0" t="n">
        <f aca="false">ROUND(Total_Debt/Instalment_Count,2)</f>
        <v>178571.43</v>
      </c>
      <c r="E39" s="0" t="n">
        <f aca="false">ROUND(C39*Annual_Rate_Pct/12,2)</f>
        <v>53189.29</v>
      </c>
      <c r="F39" s="0" t="n">
        <f aca="false">D39+E39</f>
        <v>231760.72</v>
      </c>
      <c r="G39" s="0" t="n">
        <f aca="false">ROUND(C39-D39,2)</f>
        <v>9285714.24</v>
      </c>
    </row>
    <row r="40" customFormat="false" ht="15" hidden="false" customHeight="false" outlineLevel="0" collapsed="false">
      <c r="A40" s="0" t="n">
        <v>33</v>
      </c>
      <c r="B40" s="3" t="n">
        <v>47423</v>
      </c>
      <c r="C40" s="0" t="n">
        <f aca="false">G39</f>
        <v>9285714.24</v>
      </c>
      <c r="D40" s="0" t="n">
        <f aca="false">ROUND(Total_Debt/Instalment_Count,2)</f>
        <v>178571.43</v>
      </c>
      <c r="E40" s="0" t="n">
        <f aca="false">ROUND(C40*Annual_Rate_Pct/12,2)</f>
        <v>52185.71</v>
      </c>
      <c r="F40" s="0" t="n">
        <f aca="false">D40+E40</f>
        <v>230757.14</v>
      </c>
      <c r="G40" s="0" t="n">
        <f aca="false">ROUND(C40-D40,2)</f>
        <v>9107142.81</v>
      </c>
    </row>
    <row r="41" customFormat="false" ht="15" hidden="false" customHeight="false" outlineLevel="0" collapsed="false">
      <c r="A41" s="0" t="n">
        <v>34</v>
      </c>
      <c r="B41" s="3" t="n">
        <v>47453</v>
      </c>
      <c r="C41" s="0" t="n">
        <f aca="false">G40</f>
        <v>9107142.81</v>
      </c>
      <c r="D41" s="0" t="n">
        <f aca="false">ROUND(Total_Debt/Instalment_Count,2)</f>
        <v>178571.43</v>
      </c>
      <c r="E41" s="0" t="n">
        <f aca="false">ROUND(C41*Annual_Rate_Pct/12,2)</f>
        <v>51182.14</v>
      </c>
      <c r="F41" s="0" t="n">
        <f aca="false">D41+E41</f>
        <v>229753.57</v>
      </c>
      <c r="G41" s="0" t="n">
        <f aca="false">ROUND(C41-D41,2)</f>
        <v>8928571.38</v>
      </c>
    </row>
    <row r="42" customFormat="false" ht="15" hidden="false" customHeight="false" outlineLevel="0" collapsed="false">
      <c r="A42" s="0" t="n">
        <v>35</v>
      </c>
      <c r="B42" s="3" t="n">
        <v>47484</v>
      </c>
      <c r="C42" s="0" t="n">
        <f aca="false">G41</f>
        <v>8928571.38</v>
      </c>
      <c r="D42" s="0" t="n">
        <f aca="false">ROUND(Total_Debt/Instalment_Count,2)</f>
        <v>178571.43</v>
      </c>
      <c r="E42" s="0" t="n">
        <f aca="false">ROUND(C42*Annual_Rate_Pct/12,2)</f>
        <v>50178.57</v>
      </c>
      <c r="F42" s="0" t="n">
        <f aca="false">D42+E42</f>
        <v>228750</v>
      </c>
      <c r="G42" s="0" t="n">
        <f aca="false">ROUND(C42-D42,2)</f>
        <v>8749999.95</v>
      </c>
    </row>
    <row r="43" customFormat="false" ht="15" hidden="false" customHeight="false" outlineLevel="0" collapsed="false">
      <c r="A43" s="0" t="n">
        <v>36</v>
      </c>
      <c r="B43" s="3" t="n">
        <v>47515</v>
      </c>
      <c r="C43" s="0" t="n">
        <f aca="false">G42</f>
        <v>8749999.95</v>
      </c>
      <c r="D43" s="0" t="n">
        <f aca="false">ROUND(Total_Debt/Instalment_Count,2)</f>
        <v>178571.43</v>
      </c>
      <c r="E43" s="0" t="n">
        <f aca="false">ROUND(C43*Annual_Rate_Pct/12,2)</f>
        <v>49175</v>
      </c>
      <c r="F43" s="0" t="n">
        <f aca="false">D43+E43</f>
        <v>227746.43</v>
      </c>
      <c r="G43" s="0" t="n">
        <f aca="false">ROUND(C43-D43,2)</f>
        <v>8571428.52</v>
      </c>
    </row>
    <row r="44" customFormat="false" ht="15" hidden="false" customHeight="false" outlineLevel="0" collapsed="false">
      <c r="A44" s="0" t="n">
        <v>37</v>
      </c>
      <c r="B44" s="3" t="n">
        <v>47543</v>
      </c>
      <c r="C44" s="0" t="n">
        <f aca="false">G43</f>
        <v>8571428.52</v>
      </c>
      <c r="D44" s="0" t="n">
        <f aca="false">ROUND(Total_Debt/Instalment_Count,2)</f>
        <v>178571.43</v>
      </c>
      <c r="E44" s="0" t="n">
        <f aca="false">ROUND(C44*Annual_Rate_Pct/12,2)</f>
        <v>48171.43</v>
      </c>
      <c r="F44" s="0" t="n">
        <f aca="false">D44+E44</f>
        <v>226742.86</v>
      </c>
      <c r="G44" s="0" t="n">
        <f aca="false">ROUND(C44-D44,2)</f>
        <v>8392857.09</v>
      </c>
    </row>
    <row r="45" customFormat="false" ht="15" hidden="false" customHeight="false" outlineLevel="0" collapsed="false">
      <c r="A45" s="0" t="n">
        <v>38</v>
      </c>
      <c r="B45" s="3" t="n">
        <v>47574</v>
      </c>
      <c r="C45" s="0" t="n">
        <f aca="false">G44</f>
        <v>8392857.09</v>
      </c>
      <c r="D45" s="0" t="n">
        <f aca="false">ROUND(Total_Debt/Instalment_Count,2)</f>
        <v>178571.43</v>
      </c>
      <c r="E45" s="0" t="n">
        <f aca="false">ROUND(C45*Annual_Rate_Pct/12,2)</f>
        <v>47167.86</v>
      </c>
      <c r="F45" s="0" t="n">
        <f aca="false">D45+E45</f>
        <v>225739.29</v>
      </c>
      <c r="G45" s="0" t="n">
        <f aca="false">ROUND(C45-D45,2)</f>
        <v>8214285.66</v>
      </c>
    </row>
    <row r="46" customFormat="false" ht="15" hidden="false" customHeight="false" outlineLevel="0" collapsed="false">
      <c r="A46" s="0" t="n">
        <v>39</v>
      </c>
      <c r="B46" s="3" t="n">
        <v>47604</v>
      </c>
      <c r="C46" s="0" t="n">
        <f aca="false">G45</f>
        <v>8214285.66</v>
      </c>
      <c r="D46" s="0" t="n">
        <f aca="false">ROUND(Total_Debt/Instalment_Count,2)</f>
        <v>178571.43</v>
      </c>
      <c r="E46" s="0" t="n">
        <f aca="false">ROUND(C46*Annual_Rate_Pct/12,2)</f>
        <v>46164.29</v>
      </c>
      <c r="F46" s="0" t="n">
        <f aca="false">D46+E46</f>
        <v>224735.72</v>
      </c>
      <c r="G46" s="0" t="n">
        <f aca="false">ROUND(C46-D46,2)</f>
        <v>8035714.23</v>
      </c>
    </row>
    <row r="47" customFormat="false" ht="15" hidden="false" customHeight="false" outlineLevel="0" collapsed="false">
      <c r="A47" s="0" t="n">
        <v>40</v>
      </c>
      <c r="B47" s="3" t="n">
        <v>47635</v>
      </c>
      <c r="C47" s="0" t="n">
        <f aca="false">G46</f>
        <v>8035714.23</v>
      </c>
      <c r="D47" s="0" t="n">
        <f aca="false">ROUND(Total_Debt/Instalment_Count,2)</f>
        <v>178571.43</v>
      </c>
      <c r="E47" s="0" t="n">
        <f aca="false">ROUND(C47*Annual_Rate_Pct/12,2)</f>
        <v>45160.71</v>
      </c>
      <c r="F47" s="0" t="n">
        <f aca="false">D47+E47</f>
        <v>223732.14</v>
      </c>
      <c r="G47" s="0" t="n">
        <f aca="false">ROUND(C47-D47,2)</f>
        <v>7857142.8</v>
      </c>
    </row>
    <row r="48" customFormat="false" ht="15" hidden="false" customHeight="false" outlineLevel="0" collapsed="false">
      <c r="A48" s="0" t="n">
        <v>41</v>
      </c>
      <c r="B48" s="3" t="n">
        <v>47665</v>
      </c>
      <c r="C48" s="0" t="n">
        <f aca="false">G47</f>
        <v>7857142.8</v>
      </c>
      <c r="D48" s="0" t="n">
        <f aca="false">ROUND(Total_Debt/Instalment_Count,2)</f>
        <v>178571.43</v>
      </c>
      <c r="E48" s="0" t="n">
        <f aca="false">ROUND(C48*Annual_Rate_Pct/12,2)</f>
        <v>44157.14</v>
      </c>
      <c r="F48" s="0" t="n">
        <f aca="false">D48+E48</f>
        <v>222728.57</v>
      </c>
      <c r="G48" s="0" t="n">
        <f aca="false">ROUND(C48-D48,2)</f>
        <v>7678571.37</v>
      </c>
    </row>
    <row r="49" customFormat="false" ht="15" hidden="false" customHeight="false" outlineLevel="0" collapsed="false">
      <c r="A49" s="0" t="n">
        <v>42</v>
      </c>
      <c r="B49" s="3" t="n">
        <v>47696</v>
      </c>
      <c r="C49" s="0" t="n">
        <f aca="false">G48</f>
        <v>7678571.37</v>
      </c>
      <c r="D49" s="0" t="n">
        <f aca="false">ROUND(Total_Debt/Instalment_Count,2)</f>
        <v>178571.43</v>
      </c>
      <c r="E49" s="0" t="n">
        <f aca="false">ROUND(C49*Annual_Rate_Pct/12,2)</f>
        <v>43153.57</v>
      </c>
      <c r="F49" s="0" t="n">
        <f aca="false">D49+E49</f>
        <v>221725</v>
      </c>
      <c r="G49" s="0" t="n">
        <f aca="false">ROUND(C49-D49,2)</f>
        <v>7499999.94</v>
      </c>
    </row>
    <row r="50" customFormat="false" ht="15" hidden="false" customHeight="false" outlineLevel="0" collapsed="false">
      <c r="A50" s="0" t="n">
        <v>43</v>
      </c>
      <c r="B50" s="3" t="n">
        <v>47727</v>
      </c>
      <c r="C50" s="0" t="n">
        <f aca="false">G49</f>
        <v>7499999.94</v>
      </c>
      <c r="D50" s="0" t="n">
        <f aca="false">ROUND(Total_Debt/Instalment_Count,2)</f>
        <v>178571.43</v>
      </c>
      <c r="E50" s="0" t="n">
        <f aca="false">ROUND(C50*Annual_Rate_Pct/12,2)</f>
        <v>42150</v>
      </c>
      <c r="F50" s="0" t="n">
        <f aca="false">D50+E50</f>
        <v>220721.43</v>
      </c>
      <c r="G50" s="0" t="n">
        <f aca="false">ROUND(C50-D50,2)</f>
        <v>7321428.51</v>
      </c>
    </row>
    <row r="51" customFormat="false" ht="15" hidden="false" customHeight="false" outlineLevel="0" collapsed="false">
      <c r="A51" s="0" t="n">
        <v>44</v>
      </c>
      <c r="B51" s="3" t="n">
        <v>47757</v>
      </c>
      <c r="C51" s="0" t="n">
        <f aca="false">G50</f>
        <v>7321428.51</v>
      </c>
      <c r="D51" s="0" t="n">
        <f aca="false">ROUND(Total_Debt/Instalment_Count,2)</f>
        <v>178571.43</v>
      </c>
      <c r="E51" s="0" t="n">
        <f aca="false">ROUND(C51*Annual_Rate_Pct/12,2)</f>
        <v>41146.43</v>
      </c>
      <c r="F51" s="0" t="n">
        <f aca="false">D51+E51</f>
        <v>219717.86</v>
      </c>
      <c r="G51" s="0" t="n">
        <f aca="false">ROUND(C51-D51,2)</f>
        <v>7142857.08</v>
      </c>
    </row>
    <row r="52" customFormat="false" ht="15" hidden="false" customHeight="false" outlineLevel="0" collapsed="false">
      <c r="A52" s="0" t="n">
        <v>45</v>
      </c>
      <c r="B52" s="3" t="n">
        <v>47788</v>
      </c>
      <c r="C52" s="0" t="n">
        <f aca="false">G51</f>
        <v>7142857.08</v>
      </c>
      <c r="D52" s="0" t="n">
        <f aca="false">ROUND(Total_Debt/Instalment_Count,2)</f>
        <v>178571.43</v>
      </c>
      <c r="E52" s="0" t="n">
        <f aca="false">ROUND(C52*Annual_Rate_Pct/12,2)</f>
        <v>40142.86</v>
      </c>
      <c r="F52" s="0" t="n">
        <f aca="false">D52+E52</f>
        <v>218714.29</v>
      </c>
      <c r="G52" s="0" t="n">
        <f aca="false">ROUND(C52-D52,2)</f>
        <v>6964285.65</v>
      </c>
    </row>
    <row r="53" customFormat="false" ht="15" hidden="false" customHeight="false" outlineLevel="0" collapsed="false">
      <c r="A53" s="0" t="n">
        <v>46</v>
      </c>
      <c r="B53" s="3" t="n">
        <v>47818</v>
      </c>
      <c r="C53" s="0" t="n">
        <f aca="false">G52</f>
        <v>6964285.65</v>
      </c>
      <c r="D53" s="0" t="n">
        <f aca="false">ROUND(Total_Debt/Instalment_Count,2)</f>
        <v>178571.43</v>
      </c>
      <c r="E53" s="0" t="n">
        <f aca="false">ROUND(C53*Annual_Rate_Pct/12,2)</f>
        <v>39139.29</v>
      </c>
      <c r="F53" s="0" t="n">
        <f aca="false">D53+E53</f>
        <v>217710.72</v>
      </c>
      <c r="G53" s="0" t="n">
        <f aca="false">ROUND(C53-D53,2)</f>
        <v>6785714.22</v>
      </c>
    </row>
    <row r="54" customFormat="false" ht="15" hidden="false" customHeight="false" outlineLevel="0" collapsed="false">
      <c r="A54" s="0" t="n">
        <v>47</v>
      </c>
      <c r="B54" s="3" t="n">
        <v>47849</v>
      </c>
      <c r="C54" s="0" t="n">
        <f aca="false">G53</f>
        <v>6785714.22</v>
      </c>
      <c r="D54" s="0" t="n">
        <f aca="false">ROUND(Total_Debt/Instalment_Count,2)</f>
        <v>178571.43</v>
      </c>
      <c r="E54" s="0" t="n">
        <f aca="false">ROUND(C54*Annual_Rate_Pct/12,2)</f>
        <v>38135.71</v>
      </c>
      <c r="F54" s="0" t="n">
        <f aca="false">D54+E54</f>
        <v>216707.14</v>
      </c>
      <c r="G54" s="0" t="n">
        <f aca="false">ROUND(C54-D54,2)</f>
        <v>6607142.79</v>
      </c>
    </row>
    <row r="55" customFormat="false" ht="15" hidden="false" customHeight="false" outlineLevel="0" collapsed="false">
      <c r="A55" s="0" t="n">
        <v>48</v>
      </c>
      <c r="B55" s="3" t="n">
        <v>47880</v>
      </c>
      <c r="C55" s="0" t="n">
        <f aca="false">G54</f>
        <v>6607142.79</v>
      </c>
      <c r="D55" s="0" t="n">
        <f aca="false">ROUND(Total_Debt/Instalment_Count,2)</f>
        <v>178571.43</v>
      </c>
      <c r="E55" s="0" t="n">
        <f aca="false">ROUND(C55*Annual_Rate_Pct/12,2)</f>
        <v>37132.14</v>
      </c>
      <c r="F55" s="0" t="n">
        <f aca="false">D55+E55</f>
        <v>215703.57</v>
      </c>
      <c r="G55" s="0" t="n">
        <f aca="false">ROUND(C55-D55,2)</f>
        <v>6428571.36</v>
      </c>
    </row>
    <row r="56" customFormat="false" ht="15" hidden="false" customHeight="false" outlineLevel="0" collapsed="false">
      <c r="A56" s="0" t="n">
        <v>49</v>
      </c>
      <c r="B56" s="3" t="n">
        <v>47908</v>
      </c>
      <c r="C56" s="0" t="n">
        <f aca="false">G55</f>
        <v>6428571.36</v>
      </c>
      <c r="D56" s="0" t="n">
        <f aca="false">ROUND(Total_Debt/Instalment_Count,2)</f>
        <v>178571.43</v>
      </c>
      <c r="E56" s="0" t="n">
        <f aca="false">ROUND(C56*Annual_Rate_Pct/12,2)</f>
        <v>36128.57</v>
      </c>
      <c r="F56" s="0" t="n">
        <f aca="false">D56+E56</f>
        <v>214700</v>
      </c>
      <c r="G56" s="0" t="n">
        <f aca="false">ROUND(C56-D56,2)</f>
        <v>6249999.93</v>
      </c>
    </row>
    <row r="57" customFormat="false" ht="15" hidden="false" customHeight="false" outlineLevel="0" collapsed="false">
      <c r="A57" s="0" t="n">
        <v>50</v>
      </c>
      <c r="B57" s="3" t="n">
        <v>47939</v>
      </c>
      <c r="C57" s="0" t="n">
        <f aca="false">G56</f>
        <v>6249999.93</v>
      </c>
      <c r="D57" s="0" t="n">
        <f aca="false">ROUND(Total_Debt/Instalment_Count,2)</f>
        <v>178571.43</v>
      </c>
      <c r="E57" s="0" t="n">
        <f aca="false">ROUND(C57*Annual_Rate_Pct/12,2)</f>
        <v>35125</v>
      </c>
      <c r="F57" s="0" t="n">
        <f aca="false">D57+E57</f>
        <v>213696.43</v>
      </c>
      <c r="G57" s="0" t="n">
        <f aca="false">ROUND(C57-D57,2)</f>
        <v>6071428.5</v>
      </c>
    </row>
    <row r="58" customFormat="false" ht="15" hidden="false" customHeight="false" outlineLevel="0" collapsed="false">
      <c r="A58" s="0" t="n">
        <v>51</v>
      </c>
      <c r="B58" s="3" t="n">
        <v>47969</v>
      </c>
      <c r="C58" s="0" t="n">
        <f aca="false">G57</f>
        <v>6071428.5</v>
      </c>
      <c r="D58" s="0" t="n">
        <f aca="false">ROUND(Total_Debt/Instalment_Count,2)</f>
        <v>178571.43</v>
      </c>
      <c r="E58" s="0" t="n">
        <f aca="false">ROUND(C58*Annual_Rate_Pct/12,2)</f>
        <v>34121.43</v>
      </c>
      <c r="F58" s="0" t="n">
        <f aca="false">D58+E58</f>
        <v>212692.86</v>
      </c>
      <c r="G58" s="0" t="n">
        <f aca="false">ROUND(C58-D58,2)</f>
        <v>5892857.07</v>
      </c>
    </row>
    <row r="59" customFormat="false" ht="15" hidden="false" customHeight="false" outlineLevel="0" collapsed="false">
      <c r="A59" s="0" t="n">
        <v>52</v>
      </c>
      <c r="B59" s="3" t="n">
        <v>48000</v>
      </c>
      <c r="C59" s="0" t="n">
        <f aca="false">G58</f>
        <v>5892857.07</v>
      </c>
      <c r="D59" s="0" t="n">
        <f aca="false">ROUND(Total_Debt/Instalment_Count,2)</f>
        <v>178571.43</v>
      </c>
      <c r="E59" s="0" t="n">
        <f aca="false">ROUND(C59*Annual_Rate_Pct/12,2)</f>
        <v>33117.86</v>
      </c>
      <c r="F59" s="0" t="n">
        <f aca="false">D59+E59</f>
        <v>211689.29</v>
      </c>
      <c r="G59" s="0" t="n">
        <f aca="false">ROUND(C59-D59,2)</f>
        <v>5714285.64</v>
      </c>
    </row>
    <row r="60" customFormat="false" ht="15" hidden="false" customHeight="false" outlineLevel="0" collapsed="false">
      <c r="A60" s="0" t="n">
        <v>53</v>
      </c>
      <c r="B60" s="3" t="n">
        <v>48030</v>
      </c>
      <c r="C60" s="0" t="n">
        <f aca="false">G59</f>
        <v>5714285.64</v>
      </c>
      <c r="D60" s="0" t="n">
        <f aca="false">ROUND(Total_Debt/Instalment_Count,2)</f>
        <v>178571.43</v>
      </c>
      <c r="E60" s="0" t="n">
        <f aca="false">ROUND(C60*Annual_Rate_Pct/12,2)</f>
        <v>32114.29</v>
      </c>
      <c r="F60" s="0" t="n">
        <f aca="false">D60+E60</f>
        <v>210685.72</v>
      </c>
      <c r="G60" s="0" t="n">
        <f aca="false">ROUND(C60-D60,2)</f>
        <v>5535714.21</v>
      </c>
    </row>
    <row r="61" customFormat="false" ht="15" hidden="false" customHeight="false" outlineLevel="0" collapsed="false">
      <c r="A61" s="0" t="n">
        <v>54</v>
      </c>
      <c r="B61" s="3" t="n">
        <v>48061</v>
      </c>
      <c r="C61" s="0" t="n">
        <f aca="false">G60</f>
        <v>5535714.21</v>
      </c>
      <c r="D61" s="0" t="n">
        <f aca="false">ROUND(Total_Debt/Instalment_Count,2)</f>
        <v>178571.43</v>
      </c>
      <c r="E61" s="0" t="n">
        <f aca="false">ROUND(C61*Annual_Rate_Pct/12,2)</f>
        <v>31110.71</v>
      </c>
      <c r="F61" s="0" t="n">
        <f aca="false">D61+E61</f>
        <v>209682.14</v>
      </c>
      <c r="G61" s="0" t="n">
        <f aca="false">ROUND(C61-D61,2)</f>
        <v>5357142.78</v>
      </c>
    </row>
    <row r="62" customFormat="false" ht="15" hidden="false" customHeight="false" outlineLevel="0" collapsed="false">
      <c r="A62" s="0" t="n">
        <v>55</v>
      </c>
      <c r="B62" s="3" t="n">
        <v>48092</v>
      </c>
      <c r="C62" s="0" t="n">
        <f aca="false">G61</f>
        <v>5357142.78</v>
      </c>
      <c r="D62" s="0" t="n">
        <f aca="false">ROUND(Total_Debt/Instalment_Count,2)</f>
        <v>178571.43</v>
      </c>
      <c r="E62" s="0" t="n">
        <f aca="false">ROUND(C62*Annual_Rate_Pct/12,2)</f>
        <v>30107.14</v>
      </c>
      <c r="F62" s="0" t="n">
        <f aca="false">D62+E62</f>
        <v>208678.57</v>
      </c>
      <c r="G62" s="0" t="n">
        <f aca="false">ROUND(C62-D62,2)</f>
        <v>5178571.35</v>
      </c>
    </row>
    <row r="63" customFormat="false" ht="15" hidden="false" customHeight="false" outlineLevel="0" collapsed="false">
      <c r="A63" s="0" t="n">
        <v>56</v>
      </c>
      <c r="B63" s="3" t="n">
        <v>48122</v>
      </c>
      <c r="C63" s="0" t="n">
        <f aca="false">G62</f>
        <v>5178571.35</v>
      </c>
      <c r="D63" s="0" t="n">
        <f aca="false">ROUND(Total_Debt/Instalment_Count,2)</f>
        <v>178571.43</v>
      </c>
      <c r="E63" s="0" t="n">
        <f aca="false">ROUND(C63*Annual_Rate_Pct/12,2)</f>
        <v>29103.57</v>
      </c>
      <c r="F63" s="0" t="n">
        <f aca="false">D63+E63</f>
        <v>207675</v>
      </c>
      <c r="G63" s="0" t="n">
        <f aca="false">ROUND(C63-D63,2)</f>
        <v>4999999.92</v>
      </c>
    </row>
    <row r="64" customFormat="false" ht="15" hidden="false" customHeight="false" outlineLevel="0" collapsed="false">
      <c r="A64" s="0" t="n">
        <v>57</v>
      </c>
      <c r="B64" s="3" t="n">
        <v>48153</v>
      </c>
      <c r="C64" s="0" t="n">
        <f aca="false">G63</f>
        <v>4999999.92</v>
      </c>
      <c r="D64" s="0" t="n">
        <f aca="false">ROUND(Total_Debt/Instalment_Count,2)</f>
        <v>178571.43</v>
      </c>
      <c r="E64" s="0" t="n">
        <f aca="false">ROUND(C64*Annual_Rate_Pct/12,2)</f>
        <v>28100</v>
      </c>
      <c r="F64" s="0" t="n">
        <f aca="false">D64+E64</f>
        <v>206671.43</v>
      </c>
      <c r="G64" s="0" t="n">
        <f aca="false">ROUND(C64-D64,2)</f>
        <v>4821428.49</v>
      </c>
    </row>
    <row r="65" customFormat="false" ht="15" hidden="false" customHeight="false" outlineLevel="0" collapsed="false">
      <c r="A65" s="0" t="n">
        <v>58</v>
      </c>
      <c r="B65" s="3" t="n">
        <v>48183</v>
      </c>
      <c r="C65" s="0" t="n">
        <f aca="false">G64</f>
        <v>4821428.49</v>
      </c>
      <c r="D65" s="0" t="n">
        <f aca="false">ROUND(Total_Debt/Instalment_Count,2)</f>
        <v>178571.43</v>
      </c>
      <c r="E65" s="0" t="n">
        <f aca="false">ROUND(C65*Annual_Rate_Pct/12,2)</f>
        <v>27096.43</v>
      </c>
      <c r="F65" s="0" t="n">
        <f aca="false">D65+E65</f>
        <v>205667.86</v>
      </c>
      <c r="G65" s="0" t="n">
        <f aca="false">ROUND(C65-D65,2)</f>
        <v>4642857.06</v>
      </c>
    </row>
    <row r="66" customFormat="false" ht="15" hidden="false" customHeight="false" outlineLevel="0" collapsed="false">
      <c r="A66" s="0" t="n">
        <v>59</v>
      </c>
      <c r="B66" s="3" t="n">
        <v>48214</v>
      </c>
      <c r="C66" s="0" t="n">
        <f aca="false">G65</f>
        <v>4642857.06</v>
      </c>
      <c r="D66" s="0" t="n">
        <f aca="false">ROUND(Total_Debt/Instalment_Count,2)</f>
        <v>178571.43</v>
      </c>
      <c r="E66" s="0" t="n">
        <f aca="false">ROUND(C66*Annual_Rate_Pct/12,2)</f>
        <v>26092.86</v>
      </c>
      <c r="F66" s="0" t="n">
        <f aca="false">D66+E66</f>
        <v>204664.29</v>
      </c>
      <c r="G66" s="0" t="n">
        <f aca="false">ROUND(C66-D66,2)</f>
        <v>4464285.63</v>
      </c>
    </row>
    <row r="67" customFormat="false" ht="15" hidden="false" customHeight="false" outlineLevel="0" collapsed="false">
      <c r="A67" s="0" t="n">
        <v>60</v>
      </c>
      <c r="B67" s="3" t="n">
        <v>48245</v>
      </c>
      <c r="C67" s="0" t="n">
        <f aca="false">G66</f>
        <v>4464285.63</v>
      </c>
      <c r="D67" s="0" t="n">
        <f aca="false">ROUND(Total_Debt/Instalment_Count,2)</f>
        <v>178571.43</v>
      </c>
      <c r="E67" s="0" t="n">
        <f aca="false">ROUND(C67*Annual_Rate_Pct/12,2)</f>
        <v>25089.29</v>
      </c>
      <c r="F67" s="0" t="n">
        <f aca="false">D67+E67</f>
        <v>203660.72</v>
      </c>
      <c r="G67" s="0" t="n">
        <f aca="false">ROUND(C67-D67,2)</f>
        <v>4285714.2</v>
      </c>
    </row>
    <row r="68" customFormat="false" ht="15" hidden="false" customHeight="false" outlineLevel="0" collapsed="false">
      <c r="A68" s="0" t="n">
        <v>61</v>
      </c>
      <c r="B68" s="3" t="n">
        <v>48274</v>
      </c>
      <c r="C68" s="0" t="n">
        <f aca="false">G67</f>
        <v>4285714.2</v>
      </c>
      <c r="D68" s="0" t="n">
        <f aca="false">ROUND(Total_Debt/Instalment_Count,2)</f>
        <v>178571.43</v>
      </c>
      <c r="E68" s="0" t="n">
        <f aca="false">ROUND(C68*Annual_Rate_Pct/12,2)</f>
        <v>24085.71</v>
      </c>
      <c r="F68" s="0" t="n">
        <f aca="false">D68+E68</f>
        <v>202657.14</v>
      </c>
      <c r="G68" s="0" t="n">
        <f aca="false">ROUND(C68-D68,2)</f>
        <v>4107142.77</v>
      </c>
    </row>
    <row r="69" customFormat="false" ht="15" hidden="false" customHeight="false" outlineLevel="0" collapsed="false">
      <c r="A69" s="0" t="n">
        <v>62</v>
      </c>
      <c r="B69" s="3" t="n">
        <v>48305</v>
      </c>
      <c r="C69" s="0" t="n">
        <f aca="false">G68</f>
        <v>4107142.77</v>
      </c>
      <c r="D69" s="0" t="n">
        <f aca="false">ROUND(Total_Debt/Instalment_Count,2)</f>
        <v>178571.43</v>
      </c>
      <c r="E69" s="0" t="n">
        <f aca="false">ROUND(C69*Annual_Rate_Pct/12,2)</f>
        <v>23082.14</v>
      </c>
      <c r="F69" s="0" t="n">
        <f aca="false">D69+E69</f>
        <v>201653.57</v>
      </c>
      <c r="G69" s="0" t="n">
        <f aca="false">ROUND(C69-D69,2)</f>
        <v>3928571.34</v>
      </c>
    </row>
    <row r="70" customFormat="false" ht="15" hidden="false" customHeight="false" outlineLevel="0" collapsed="false">
      <c r="A70" s="0" t="n">
        <v>63</v>
      </c>
      <c r="B70" s="3" t="n">
        <v>48335</v>
      </c>
      <c r="C70" s="0" t="n">
        <f aca="false">G69</f>
        <v>3928571.34</v>
      </c>
      <c r="D70" s="0" t="n">
        <f aca="false">ROUND(Total_Debt/Instalment_Count,2)</f>
        <v>178571.43</v>
      </c>
      <c r="E70" s="0" t="n">
        <f aca="false">ROUND(C70*Annual_Rate_Pct/12,2)</f>
        <v>22078.57</v>
      </c>
      <c r="F70" s="0" t="n">
        <f aca="false">D70+E70</f>
        <v>200650</v>
      </c>
      <c r="G70" s="0" t="n">
        <f aca="false">ROUND(C70-D70,2)</f>
        <v>3749999.91</v>
      </c>
    </row>
    <row r="71" customFormat="false" ht="15" hidden="false" customHeight="false" outlineLevel="0" collapsed="false">
      <c r="A71" s="0" t="n">
        <v>64</v>
      </c>
      <c r="B71" s="3" t="n">
        <v>48366</v>
      </c>
      <c r="C71" s="0" t="n">
        <f aca="false">G70</f>
        <v>3749999.91</v>
      </c>
      <c r="D71" s="0" t="n">
        <f aca="false">ROUND(Total_Debt/Instalment_Count,2)</f>
        <v>178571.43</v>
      </c>
      <c r="E71" s="0" t="n">
        <f aca="false">ROUND(C71*Annual_Rate_Pct/12,2)</f>
        <v>21075</v>
      </c>
      <c r="F71" s="0" t="n">
        <f aca="false">D71+E71</f>
        <v>199646.43</v>
      </c>
      <c r="G71" s="0" t="n">
        <f aca="false">ROUND(C71-D71,2)</f>
        <v>3571428.48</v>
      </c>
    </row>
    <row r="72" customFormat="false" ht="15" hidden="false" customHeight="false" outlineLevel="0" collapsed="false">
      <c r="A72" s="0" t="n">
        <v>65</v>
      </c>
      <c r="B72" s="3" t="n">
        <v>48396</v>
      </c>
      <c r="C72" s="0" t="n">
        <f aca="false">G71</f>
        <v>3571428.48</v>
      </c>
      <c r="D72" s="0" t="n">
        <f aca="false">ROUND(Total_Debt/Instalment_Count,2)</f>
        <v>178571.43</v>
      </c>
      <c r="E72" s="0" t="n">
        <f aca="false">ROUND(C72*Annual_Rate_Pct/12,2)</f>
        <v>20071.43</v>
      </c>
      <c r="F72" s="0" t="n">
        <f aca="false">D72+E72</f>
        <v>198642.86</v>
      </c>
      <c r="G72" s="0" t="n">
        <f aca="false">ROUND(C72-D72,2)</f>
        <v>3392857.05</v>
      </c>
    </row>
    <row r="73" customFormat="false" ht="15" hidden="false" customHeight="false" outlineLevel="0" collapsed="false">
      <c r="A73" s="0" t="n">
        <v>66</v>
      </c>
      <c r="B73" s="3" t="n">
        <v>48427</v>
      </c>
      <c r="C73" s="0" t="n">
        <f aca="false">G72</f>
        <v>3392857.05</v>
      </c>
      <c r="D73" s="0" t="n">
        <f aca="false">ROUND(Total_Debt/Instalment_Count,2)</f>
        <v>178571.43</v>
      </c>
      <c r="E73" s="0" t="n">
        <f aca="false">ROUND(C73*Annual_Rate_Pct/12,2)</f>
        <v>19067.86</v>
      </c>
      <c r="F73" s="0" t="n">
        <f aca="false">D73+E73</f>
        <v>197639.29</v>
      </c>
      <c r="G73" s="0" t="n">
        <f aca="false">ROUND(C73-D73,2)</f>
        <v>3214285.62</v>
      </c>
    </row>
    <row r="74" customFormat="false" ht="15" hidden="false" customHeight="false" outlineLevel="0" collapsed="false">
      <c r="A74" s="0" t="n">
        <v>67</v>
      </c>
      <c r="B74" s="3" t="n">
        <v>48458</v>
      </c>
      <c r="C74" s="0" t="n">
        <f aca="false">G73</f>
        <v>3214285.62</v>
      </c>
      <c r="D74" s="0" t="n">
        <f aca="false">ROUND(Total_Debt/Instalment_Count,2)</f>
        <v>178571.43</v>
      </c>
      <c r="E74" s="0" t="n">
        <f aca="false">ROUND(C74*Annual_Rate_Pct/12,2)</f>
        <v>18064.29</v>
      </c>
      <c r="F74" s="0" t="n">
        <f aca="false">D74+E74</f>
        <v>196635.72</v>
      </c>
      <c r="G74" s="0" t="n">
        <f aca="false">ROUND(C74-D74,2)</f>
        <v>3035714.19</v>
      </c>
    </row>
    <row r="75" customFormat="false" ht="15" hidden="false" customHeight="false" outlineLevel="0" collapsed="false">
      <c r="A75" s="0" t="n">
        <v>68</v>
      </c>
      <c r="B75" s="3" t="n">
        <v>48488</v>
      </c>
      <c r="C75" s="0" t="n">
        <f aca="false">G74</f>
        <v>3035714.19</v>
      </c>
      <c r="D75" s="0" t="n">
        <f aca="false">ROUND(Total_Debt/Instalment_Count,2)</f>
        <v>178571.43</v>
      </c>
      <c r="E75" s="0" t="n">
        <f aca="false">ROUND(C75*Annual_Rate_Pct/12,2)</f>
        <v>17060.71</v>
      </c>
      <c r="F75" s="0" t="n">
        <f aca="false">D75+E75</f>
        <v>195632.14</v>
      </c>
      <c r="G75" s="0" t="n">
        <f aca="false">ROUND(C75-D75,2)</f>
        <v>2857142.76</v>
      </c>
    </row>
    <row r="76" customFormat="false" ht="15" hidden="false" customHeight="false" outlineLevel="0" collapsed="false">
      <c r="A76" s="0" t="n">
        <v>69</v>
      </c>
      <c r="B76" s="3" t="n">
        <v>48519</v>
      </c>
      <c r="C76" s="0" t="n">
        <f aca="false">G75</f>
        <v>2857142.76</v>
      </c>
      <c r="D76" s="0" t="n">
        <f aca="false">ROUND(Total_Debt/Instalment_Count,2)</f>
        <v>178571.43</v>
      </c>
      <c r="E76" s="0" t="n">
        <f aca="false">ROUND(C76*Annual_Rate_Pct/12,2)</f>
        <v>16057.14</v>
      </c>
      <c r="F76" s="0" t="n">
        <f aca="false">D76+E76</f>
        <v>194628.57</v>
      </c>
      <c r="G76" s="0" t="n">
        <f aca="false">ROUND(C76-D76,2)</f>
        <v>2678571.33</v>
      </c>
    </row>
    <row r="77" customFormat="false" ht="15" hidden="false" customHeight="false" outlineLevel="0" collapsed="false">
      <c r="A77" s="0" t="n">
        <v>70</v>
      </c>
      <c r="B77" s="3" t="n">
        <v>48549</v>
      </c>
      <c r="C77" s="0" t="n">
        <f aca="false">G76</f>
        <v>2678571.33</v>
      </c>
      <c r="D77" s="0" t="n">
        <f aca="false">ROUND(Total_Debt/Instalment_Count,2)</f>
        <v>178571.43</v>
      </c>
      <c r="E77" s="0" t="n">
        <f aca="false">ROUND(C77*Annual_Rate_Pct/12,2)</f>
        <v>15053.57</v>
      </c>
      <c r="F77" s="0" t="n">
        <f aca="false">D77+E77</f>
        <v>193625</v>
      </c>
      <c r="G77" s="0" t="n">
        <f aca="false">ROUND(C77-D77,2)</f>
        <v>2499999.9</v>
      </c>
    </row>
    <row r="78" customFormat="false" ht="15" hidden="false" customHeight="false" outlineLevel="0" collapsed="false">
      <c r="A78" s="0" t="n">
        <v>71</v>
      </c>
      <c r="B78" s="3" t="n">
        <v>48580</v>
      </c>
      <c r="C78" s="0" t="n">
        <f aca="false">G77</f>
        <v>2499999.9</v>
      </c>
      <c r="D78" s="0" t="n">
        <f aca="false">ROUND(Total_Debt/Instalment_Count,2)</f>
        <v>178571.43</v>
      </c>
      <c r="E78" s="0" t="n">
        <f aca="false">ROUND(C78*Annual_Rate_Pct/12,2)</f>
        <v>14050</v>
      </c>
      <c r="F78" s="0" t="n">
        <f aca="false">D78+E78</f>
        <v>192621.43</v>
      </c>
      <c r="G78" s="0" t="n">
        <f aca="false">ROUND(C78-D78,2)</f>
        <v>2321428.47</v>
      </c>
    </row>
    <row r="79" customFormat="false" ht="15" hidden="false" customHeight="false" outlineLevel="0" collapsed="false">
      <c r="A79" s="0" t="n">
        <v>72</v>
      </c>
      <c r="B79" s="3" t="n">
        <v>48611</v>
      </c>
      <c r="C79" s="0" t="n">
        <f aca="false">G78</f>
        <v>2321428.47</v>
      </c>
      <c r="D79" s="0" t="n">
        <f aca="false">ROUND(Total_Debt/Instalment_Count,2)</f>
        <v>178571.43</v>
      </c>
      <c r="E79" s="0" t="n">
        <f aca="false">ROUND(C79*Annual_Rate_Pct/12,2)</f>
        <v>13046.43</v>
      </c>
      <c r="F79" s="0" t="n">
        <f aca="false">D79+E79</f>
        <v>191617.86</v>
      </c>
      <c r="G79" s="0" t="n">
        <f aca="false">ROUND(C79-D79,2)</f>
        <v>2142857.04</v>
      </c>
    </row>
    <row r="80" customFormat="false" ht="15" hidden="false" customHeight="false" outlineLevel="0" collapsed="false">
      <c r="A80" s="0" t="n">
        <v>73</v>
      </c>
      <c r="B80" s="3" t="n">
        <v>48639</v>
      </c>
      <c r="C80" s="0" t="n">
        <f aca="false">G79</f>
        <v>2142857.04</v>
      </c>
      <c r="D80" s="0" t="n">
        <f aca="false">ROUND(Total_Debt/Instalment_Count,2)</f>
        <v>178571.43</v>
      </c>
      <c r="E80" s="0" t="n">
        <f aca="false">ROUND(C80*Annual_Rate_Pct/12,2)</f>
        <v>12042.86</v>
      </c>
      <c r="F80" s="0" t="n">
        <f aca="false">D80+E80</f>
        <v>190614.29</v>
      </c>
      <c r="G80" s="0" t="n">
        <f aca="false">ROUND(C80-D80,2)</f>
        <v>1964285.61</v>
      </c>
    </row>
    <row r="81" customFormat="false" ht="15" hidden="false" customHeight="false" outlineLevel="0" collapsed="false">
      <c r="A81" s="0" t="n">
        <v>74</v>
      </c>
      <c r="B81" s="3" t="n">
        <v>48670</v>
      </c>
      <c r="C81" s="0" t="n">
        <f aca="false">G80</f>
        <v>1964285.61</v>
      </c>
      <c r="D81" s="0" t="n">
        <f aca="false">ROUND(Total_Debt/Instalment_Count,2)</f>
        <v>178571.43</v>
      </c>
      <c r="E81" s="0" t="n">
        <f aca="false">ROUND(C81*Annual_Rate_Pct/12,2)</f>
        <v>11039.29</v>
      </c>
      <c r="F81" s="0" t="n">
        <f aca="false">D81+E81</f>
        <v>189610.72</v>
      </c>
      <c r="G81" s="0" t="n">
        <f aca="false">ROUND(C81-D81,2)</f>
        <v>1785714.18</v>
      </c>
    </row>
    <row r="82" customFormat="false" ht="15" hidden="false" customHeight="false" outlineLevel="0" collapsed="false">
      <c r="A82" s="0" t="n">
        <v>75</v>
      </c>
      <c r="B82" s="3" t="n">
        <v>48700</v>
      </c>
      <c r="C82" s="0" t="n">
        <f aca="false">G81</f>
        <v>1785714.18</v>
      </c>
      <c r="D82" s="0" t="n">
        <f aca="false">ROUND(Total_Debt/Instalment_Count,2)</f>
        <v>178571.43</v>
      </c>
      <c r="E82" s="0" t="n">
        <f aca="false">ROUND(C82*Annual_Rate_Pct/12,2)</f>
        <v>10035.71</v>
      </c>
      <c r="F82" s="0" t="n">
        <f aca="false">D82+E82</f>
        <v>188607.14</v>
      </c>
      <c r="G82" s="0" t="n">
        <f aca="false">ROUND(C82-D82,2)</f>
        <v>1607142.75</v>
      </c>
    </row>
    <row r="83" customFormat="false" ht="15" hidden="false" customHeight="false" outlineLevel="0" collapsed="false">
      <c r="A83" s="0" t="n">
        <v>76</v>
      </c>
      <c r="B83" s="3" t="n">
        <v>48731</v>
      </c>
      <c r="C83" s="0" t="n">
        <f aca="false">G82</f>
        <v>1607142.75</v>
      </c>
      <c r="D83" s="0" t="n">
        <f aca="false">ROUND(Total_Debt/Instalment_Count,2)</f>
        <v>178571.43</v>
      </c>
      <c r="E83" s="0" t="n">
        <f aca="false">ROUND(C83*Annual_Rate_Pct/12,2)</f>
        <v>9032.14</v>
      </c>
      <c r="F83" s="0" t="n">
        <f aca="false">D83+E83</f>
        <v>187603.57</v>
      </c>
      <c r="G83" s="0" t="n">
        <f aca="false">ROUND(C83-D83,2)</f>
        <v>1428571.32</v>
      </c>
    </row>
    <row r="84" customFormat="false" ht="15" hidden="false" customHeight="false" outlineLevel="0" collapsed="false">
      <c r="A84" s="0" t="n">
        <v>77</v>
      </c>
      <c r="B84" s="3" t="n">
        <v>48761</v>
      </c>
      <c r="C84" s="0" t="n">
        <f aca="false">G83</f>
        <v>1428571.32</v>
      </c>
      <c r="D84" s="0" t="n">
        <f aca="false">ROUND(Total_Debt/Instalment_Count,2)</f>
        <v>178571.43</v>
      </c>
      <c r="E84" s="0" t="n">
        <f aca="false">ROUND(C84*Annual_Rate_Pct/12,2)</f>
        <v>8028.57</v>
      </c>
      <c r="F84" s="0" t="n">
        <f aca="false">D84+E84</f>
        <v>186600</v>
      </c>
      <c r="G84" s="0" t="n">
        <f aca="false">ROUND(C84-D84,2)</f>
        <v>1249999.89</v>
      </c>
    </row>
    <row r="85" customFormat="false" ht="15" hidden="false" customHeight="false" outlineLevel="0" collapsed="false">
      <c r="A85" s="0" t="n">
        <v>78</v>
      </c>
      <c r="B85" s="3" t="n">
        <v>48792</v>
      </c>
      <c r="C85" s="0" t="n">
        <f aca="false">G84</f>
        <v>1249999.89</v>
      </c>
      <c r="D85" s="0" t="n">
        <f aca="false">ROUND(Total_Debt/Instalment_Count,2)</f>
        <v>178571.43</v>
      </c>
      <c r="E85" s="0" t="n">
        <f aca="false">ROUND(C85*Annual_Rate_Pct/12,2)</f>
        <v>7025</v>
      </c>
      <c r="F85" s="0" t="n">
        <f aca="false">D85+E85</f>
        <v>185596.43</v>
      </c>
      <c r="G85" s="0" t="n">
        <f aca="false">ROUND(C85-D85,2)</f>
        <v>1071428.46</v>
      </c>
    </row>
    <row r="86" customFormat="false" ht="15" hidden="false" customHeight="false" outlineLevel="0" collapsed="false">
      <c r="A86" s="0" t="n">
        <v>79</v>
      </c>
      <c r="B86" s="3" t="n">
        <v>48823</v>
      </c>
      <c r="C86" s="0" t="n">
        <f aca="false">G85</f>
        <v>1071428.46</v>
      </c>
      <c r="D86" s="0" t="n">
        <f aca="false">ROUND(Total_Debt/Instalment_Count,2)</f>
        <v>178571.43</v>
      </c>
      <c r="E86" s="0" t="n">
        <f aca="false">ROUND(C86*Annual_Rate_Pct/12,2)</f>
        <v>6021.43</v>
      </c>
      <c r="F86" s="0" t="n">
        <f aca="false">D86+E86</f>
        <v>184592.86</v>
      </c>
      <c r="G86" s="0" t="n">
        <f aca="false">ROUND(C86-D86,2)</f>
        <v>892857.03</v>
      </c>
    </row>
    <row r="87" customFormat="false" ht="15" hidden="false" customHeight="false" outlineLevel="0" collapsed="false">
      <c r="A87" s="0" t="n">
        <v>80</v>
      </c>
      <c r="B87" s="3" t="n">
        <v>48853</v>
      </c>
      <c r="C87" s="0" t="n">
        <f aca="false">G86</f>
        <v>892857.03</v>
      </c>
      <c r="D87" s="0" t="n">
        <f aca="false">ROUND(Total_Debt/Instalment_Count,2)</f>
        <v>178571.43</v>
      </c>
      <c r="E87" s="0" t="n">
        <f aca="false">ROUND(C87*Annual_Rate_Pct/12,2)</f>
        <v>5017.86</v>
      </c>
      <c r="F87" s="0" t="n">
        <f aca="false">D87+E87</f>
        <v>183589.29</v>
      </c>
      <c r="G87" s="0" t="n">
        <f aca="false">ROUND(C87-D87,2)</f>
        <v>714285.6</v>
      </c>
    </row>
    <row r="88" customFormat="false" ht="15" hidden="false" customHeight="false" outlineLevel="0" collapsed="false">
      <c r="A88" s="0" t="n">
        <v>81</v>
      </c>
      <c r="B88" s="3" t="n">
        <v>48884</v>
      </c>
      <c r="C88" s="0" t="n">
        <f aca="false">G87</f>
        <v>714285.6</v>
      </c>
      <c r="D88" s="0" t="n">
        <f aca="false">ROUND(Total_Debt/Instalment_Count,2)</f>
        <v>178571.43</v>
      </c>
      <c r="E88" s="0" t="n">
        <f aca="false">ROUND(C88*Annual_Rate_Pct/12,2)</f>
        <v>4014.29</v>
      </c>
      <c r="F88" s="0" t="n">
        <f aca="false">D88+E88</f>
        <v>182585.72</v>
      </c>
      <c r="G88" s="0" t="n">
        <f aca="false">ROUND(C88-D88,2)</f>
        <v>535714.17</v>
      </c>
    </row>
    <row r="89" customFormat="false" ht="15" hidden="false" customHeight="false" outlineLevel="0" collapsed="false">
      <c r="A89" s="0" t="n">
        <v>82</v>
      </c>
      <c r="B89" s="3" t="n">
        <v>48914</v>
      </c>
      <c r="C89" s="0" t="n">
        <f aca="false">G88</f>
        <v>535714.17</v>
      </c>
      <c r="D89" s="0" t="n">
        <f aca="false">ROUND(Total_Debt/Instalment_Count,2)</f>
        <v>178571.43</v>
      </c>
      <c r="E89" s="0" t="n">
        <f aca="false">ROUND(C89*Annual_Rate_Pct/12,2)</f>
        <v>3010.71</v>
      </c>
      <c r="F89" s="0" t="n">
        <f aca="false">D89+E89</f>
        <v>181582.14</v>
      </c>
      <c r="G89" s="0" t="n">
        <f aca="false">ROUND(C89-D89,2)</f>
        <v>357142.74</v>
      </c>
    </row>
    <row r="90" customFormat="false" ht="15" hidden="false" customHeight="false" outlineLevel="0" collapsed="false">
      <c r="A90" s="0" t="n">
        <v>83</v>
      </c>
      <c r="B90" s="3" t="n">
        <v>48945</v>
      </c>
      <c r="C90" s="0" t="n">
        <f aca="false">G89</f>
        <v>357142.74</v>
      </c>
      <c r="D90" s="0" t="n">
        <f aca="false">ROUND(Total_Debt/Instalment_Count,2)</f>
        <v>178571.43</v>
      </c>
      <c r="E90" s="0" t="n">
        <f aca="false">ROUND(C90*Annual_Rate_Pct/12,2)</f>
        <v>2007.14</v>
      </c>
      <c r="F90" s="0" t="n">
        <f aca="false">D90+E90</f>
        <v>180578.57</v>
      </c>
      <c r="G90" s="0" t="n">
        <f aca="false">ROUND(C90-D90,2)</f>
        <v>178571.31</v>
      </c>
    </row>
    <row r="91" customFormat="false" ht="15" hidden="false" customHeight="false" outlineLevel="0" collapsed="false">
      <c r="A91" s="0" t="n">
        <v>84</v>
      </c>
      <c r="B91" s="3" t="n">
        <v>48976</v>
      </c>
      <c r="C91" s="0" t="n">
        <f aca="false">G90</f>
        <v>178571.31</v>
      </c>
      <c r="D91" s="0" t="n">
        <f aca="false">C91</f>
        <v>178571.31</v>
      </c>
      <c r="E91" s="0" t="n">
        <f aca="false">ROUND(C91*Annual_Rate_Pct/12,2)</f>
        <v>1003.57</v>
      </c>
      <c r="F91" s="0" t="n">
        <f aca="false">D91+E91</f>
        <v>179574.88</v>
      </c>
      <c r="G91" s="0" t="n">
        <f aca="false">ROUND(C91-D91,2)</f>
        <v>0</v>
      </c>
    </row>
    <row r="93" customFormat="false" ht="15" hidden="false" customHeight="false" outlineLevel="0" collapsed="false">
      <c r="A93" s="0" t="s">
        <v>12</v>
      </c>
      <c r="B93" s="0" t="n">
        <f aca="false">G91</f>
        <v>0</v>
      </c>
    </row>
    <row r="94" customFormat="false" ht="15" hidden="false" customHeight="false" outlineLevel="0" collapsed="false">
      <c r="A94" s="0" t="s">
        <v>13</v>
      </c>
      <c r="B94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</row>
    <row r="3" customFormat="false" ht="15" hidden="false" customHeight="false" outlineLevel="0" collapsed="false">
      <c r="A3" s="0" t="s">
        <v>18</v>
      </c>
      <c r="B3" s="0" t="n">
        <v>1</v>
      </c>
    </row>
    <row r="4" customFormat="false" ht="15" hidden="false" customHeight="false" outlineLevel="0" collapsed="false">
      <c r="A4" s="0" t="s">
        <v>19</v>
      </c>
      <c r="B4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2026-10-12T13:12:20Z</dcterms:created>
  <dc:creator>openpyxl</dc:creator>
  <dc:description/>
  <dc:language>en-US</dc:language>
  <cp:lastModifiedBy/>
  <dcterms:modified xsi:type="dcterms:W3CDTF">2026-10-12T13:12:20Z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