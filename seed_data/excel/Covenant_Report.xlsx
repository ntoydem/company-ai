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<sst xmlns="http://schemas.openxmlformats.org/spreadsheetml/2006/main" count="143" uniqueCount="40">
  <si>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</si>
  <si>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</si>
  <si>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</si>
  <si>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</si>
  <si>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(EUR)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</si>
  <si>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</si>
  <si>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</si>
  <si>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</si>
  <si>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</si>
  <si>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</si>
  <si>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</si>
  <si>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</si>
  <si>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</si>
  <si>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</si>
  <si>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</si>
  <si>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</si>
  <si>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</si>
  <si>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</si>
  <si>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(EUR)</t>
  </si>
  <si>
    <t xml:space="preserve">Principal, half-year (EUR)</t>
  </si>
  <si>
    <t xml:space="preserve">Interest, half-year (EUR)</t>
  </si>
  <si>
    <t xml:space="preserve">Debt service, quarter (EUR)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</si>
  <si>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</si>
  <si>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</si>
  <si>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</si>
  <si>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</si>
  <si>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</si>
  <si>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</si>
  <si>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</si>
  <si>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</si>
  <si>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</si>
  <si>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</si>
  <si>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</si>
  <si>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</si>
  <si>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</si>
  <si>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</si>
  <si>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2026-09-25T08:51:04+00:00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</si>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</sst>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2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1" t="s">
        <v>5</v>
      </c>
      <c r="B2" s="1" t="n">
        <f aca="false">Q4_2023!D14</f>
        <v>1.42</v>
      </c>
      <c r="C2" s="1" t="n">
        <f aca="false">Q4_2023!D10</f>
        <v>1.25</v>
      </c>
      <c r="D2" s="1" t="str">
        <f aca="false">Q4_2023!D15</f>
        <v>pass</v>
      </c>
      <c r="E2" s="1" t="n">
        <f aca="false">Q4_2023!D12</f>
        <v>50400000</v>
      </c>
    </row>
    <row r="3" customFormat="false" ht="15" hidden="false" customHeight="false" outlineLevel="0" collapsed="false">
      <c r="A3" s="1" t="s">
        <v>6</v>
      </c>
      <c r="B3" s="1" t="n">
        <f aca="false">Q1_2024!D14</f>
        <v>1.38</v>
      </c>
      <c r="C3" s="1" t="n">
        <f aca="false">Q1_2024!D10</f>
        <v>1.25</v>
      </c>
      <c r="D3" s="1" t="str">
        <f aca="false">Q1_2024!D15</f>
        <v>pass</v>
      </c>
      <c r="E3" s="1" t="n">
        <f aca="false">Q1_2024!D12</f>
        <v>49400000</v>
      </c>
    </row>
    <row r="4" customFormat="false" ht="15" hidden="false" customHeight="false" outlineLevel="0" collapsed="false">
      <c r="A4" s="1" t="s">
        <v>7</v>
      </c>
      <c r="B4" s="1" t="n">
        <f aca="false">Q2_2024!D14</f>
        <v>1.31</v>
      </c>
      <c r="C4" s="1" t="n">
        <f aca="false">Q2_2024!D10</f>
        <v>1.25</v>
      </c>
      <c r="D4" s="1" t="str">
        <f aca="false">Q2_2024!D15</f>
        <v>pass</v>
      </c>
      <c r="E4" s="1" t="n">
        <f aca="false">Q2_2024!D12</f>
        <v>49400000</v>
      </c>
    </row>
    <row r="5" customFormat="false" ht="15" hidden="false" customHeight="false" outlineLevel="0" collapsed="false">
      <c r="A5" s="1" t="s">
        <v>8</v>
      </c>
      <c r="B5" s="1" t="n">
        <f aca="false">Q3_2024!D14</f>
        <v>1.27</v>
      </c>
      <c r="C5" s="1" t="n">
        <f aca="false">Q3_2024!D10</f>
        <v>1.25</v>
      </c>
      <c r="D5" s="1" t="str">
        <f aca="false">Q3_2024!D15</f>
        <v>pass</v>
      </c>
      <c r="E5" s="1" t="n">
        <f aca="false">Q3_2024!D12</f>
        <v>48300000</v>
      </c>
    </row>
    <row r="6" customFormat="false" ht="15" hidden="false" customHeight="false" outlineLevel="0" collapsed="false">
      <c r="A6" s="1" t="s">
        <v>9</v>
      </c>
      <c r="B6" s="1" t="n">
        <f aca="false">Q4_2024!D14</f>
        <v>1.24</v>
      </c>
      <c r="C6" s="1" t="n">
        <f aca="false">Q4_2024!D10</f>
        <v>1.25</v>
      </c>
      <c r="D6" s="1" t="str">
        <f aca="false">Q4_2024!D15</f>
        <v>fail</v>
      </c>
      <c r="E6" s="1" t="n">
        <f aca="false">Q4_2024!D12</f>
        <v>48300000</v>
      </c>
    </row>
    <row r="7" customFormat="false" ht="15" hidden="false" customHeight="false" outlineLevel="0" collapsed="false">
      <c r="A7" s="1" t="s">
        <v>10</v>
      </c>
      <c r="B7" s="1" t="n">
        <f aca="false">Q1_2025!D14</f>
        <v>1.23</v>
      </c>
      <c r="C7" s="1" t="n">
        <f aca="false">Q1_2025!D10</f>
        <v>1.2</v>
      </c>
      <c r="D7" s="1" t="str">
        <f aca="false">Q1_2025!D15</f>
        <v>pass</v>
      </c>
      <c r="E7" s="1" t="n">
        <f aca="false">Q1_2025!D12</f>
        <v>47000000</v>
      </c>
    </row>
    <row r="8" customFormat="false" ht="15" hidden="false" customHeight="false" outlineLevel="0" collapsed="false">
      <c r="A8" s="1" t="s">
        <v>11</v>
      </c>
      <c r="B8" s="1" t="n">
        <f aca="false">Q2_2025!D14</f>
        <v>1.29</v>
      </c>
      <c r="C8" s="1" t="n">
        <f aca="false">Q2_2025!D10</f>
        <v>1.2</v>
      </c>
      <c r="D8" s="1" t="str">
        <f aca="false">Q2_2025!D15</f>
        <v>pass</v>
      </c>
      <c r="E8" s="1" t="n">
        <f aca="false">Q2_2025!D12</f>
        <v>47000000</v>
      </c>
    </row>
    <row r="9" customFormat="false" ht="15" hidden="false" customHeight="false" outlineLevel="0" collapsed="false">
      <c r="A9" s="1" t="s">
        <v>12</v>
      </c>
      <c r="B9" s="1" t="n">
        <f aca="false">Q3_2025!D14</f>
        <v>1.33</v>
      </c>
      <c r="C9" s="1" t="n">
        <f aca="false">Q3_2025!D10</f>
        <v>1.2</v>
      </c>
      <c r="D9" s="1" t="str">
        <f aca="false">Q3_2025!D15</f>
        <v>pass</v>
      </c>
      <c r="E9" s="1" t="n">
        <f aca="false">Q3_2025!D12</f>
        <v>45600000</v>
      </c>
    </row>
    <row r="10" customFormat="false" ht="15" hidden="false" customHeight="false" outlineLevel="0" collapsed="false">
      <c r="A10" s="1" t="s">
        <v>13</v>
      </c>
      <c r="B10" s="1" t="n">
        <f aca="false">Q4_2025!D14</f>
        <v>1.36</v>
      </c>
      <c r="C10" s="1" t="n">
        <f aca="false">Q4_2025!D10</f>
        <v>1.2</v>
      </c>
      <c r="D10" s="1" t="str">
        <f aca="false">Q4_2025!D15</f>
        <v>pass</v>
      </c>
      <c r="E10" s="1" t="n">
        <f aca="false">Q4_2025!D12</f>
        <v>45600000</v>
      </c>
    </row>
    <row r="11" customFormat="false" ht="15" hidden="false" customHeight="false" outlineLevel="0" collapsed="false">
      <c r="A11" s="1" t="s">
        <v>14</v>
      </c>
      <c r="B11" s="1" t="n">
        <f aca="false">Q1_2026!D14</f>
        <v>1.34</v>
      </c>
      <c r="C11" s="1" t="n">
        <f aca="false">Q1_2026!D10</f>
        <v>1.2</v>
      </c>
      <c r="D11" s="1" t="str">
        <f aca="false">Q1_2026!D15</f>
        <v>pass</v>
      </c>
      <c r="E11" s="1" t="n">
        <f aca="false">Q1_2026!D12</f>
        <v>44100000</v>
      </c>
    </row>
    <row r="12" customFormat="false" ht="15" hidden="false" customHeight="false" outlineLevel="0" collapsed="false">
      <c r="A12" s="1" t="s">
        <v>15</v>
      </c>
      <c r="B12" s="1" t="n">
        <f aca="false">Q2_2026!D14</f>
        <v>1.37</v>
      </c>
      <c r="C12" s="1" t="n">
        <f aca="false">Q2_2026!D10</f>
        <v>1.2</v>
      </c>
      <c r="D12" s="1" t="str">
        <f aca="false">Q2_2026!D15</f>
        <v>pass</v>
      </c>
      <c r="E12" s="1" t="n">
        <f aca="false">Q2_2026!D12</f>
        <v>44100000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16</v>
      </c>
    </row>
    <row r="3" customFormat="false" ht="15" hidden="false" customHeight="false" outlineLevel="0" collapsed="false">
      <c r="B3" s="1" t="s">
        <v>17</v>
      </c>
      <c r="D3" s="1" t="s">
        <v>5</v>
      </c>
    </row>
    <row r="5" customFormat="false" ht="15" hidden="false" customHeight="false" outlineLevel="0" collapsed="false">
      <c r="B5" s="1" t="s">
        <v>18</v>
      </c>
      <c r="D5" s="1" t="n">
        <v>1225600</v>
      </c>
    </row>
    <row r="6" customFormat="false" ht="15" hidden="false" customHeight="false" outlineLevel="0" collapsed="false">
      <c r="B6" s="1" t="s">
        <v>19</v>
      </c>
      <c r="D6" s="1" t="n">
        <v>0</v>
      </c>
    </row>
    <row r="7" customFormat="false" ht="15" hidden="false" customHeight="false" outlineLevel="0" collapsed="false">
      <c r="B7" s="1" t="s">
        <v>20</v>
      </c>
      <c r="D7" s="1" t="n">
        <v>1726200</v>
      </c>
    </row>
    <row r="8" customFormat="false" ht="15" hidden="false" customHeight="false" outlineLevel="0" collapsed="false">
      <c r="B8" s="1" t="s">
        <v>21</v>
      </c>
      <c r="D8" s="1" t="n">
        <f aca="false">(D6+D7)/2</f>
        <v>863100</v>
      </c>
    </row>
    <row r="10" customFormat="false" ht="15" hidden="false" customHeight="false" outlineLevel="0" collapsed="false">
      <c r="B10" s="1" t="s">
        <v>22</v>
      </c>
      <c r="D10" s="1" t="n">
        <v>1.25</v>
      </c>
    </row>
    <row r="12" customFormat="false" ht="15" hidden="false" customHeight="false" outlineLevel="0" collapsed="false">
      <c r="B12" s="1" t="s">
        <v>4</v>
      </c>
      <c r="D12" s="1" t="n">
        <v>50400000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1.42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24</v>
      </c>
    </row>
    <row r="3" customFormat="false" ht="15" hidden="false" customHeight="false" outlineLevel="0" collapsed="false">
      <c r="B3" s="1" t="s">
        <v>17</v>
      </c>
      <c r="D3" s="1" t="s">
        <v>6</v>
      </c>
    </row>
    <row r="5" customFormat="false" ht="15" hidden="false" customHeight="false" outlineLevel="0" collapsed="false">
      <c r="B5" s="1" t="s">
        <v>18</v>
      </c>
      <c r="D5" s="1" t="n">
        <v>1863700</v>
      </c>
    </row>
    <row r="6" customFormat="false" ht="15" hidden="false" customHeight="false" outlineLevel="0" collapsed="false">
      <c r="B6" s="1" t="s">
        <v>19</v>
      </c>
      <c r="D6" s="1" t="n">
        <v>1000000</v>
      </c>
    </row>
    <row r="7" customFormat="false" ht="15" hidden="false" customHeight="false" outlineLevel="0" collapsed="false">
      <c r="B7" s="1" t="s">
        <v>20</v>
      </c>
      <c r="D7" s="1" t="n">
        <v>1701000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1350500</v>
      </c>
    </row>
    <row r="10" customFormat="false" ht="15" hidden="false" customHeight="false" outlineLevel="0" collapsed="false">
      <c r="B10" s="1" t="s">
        <v>22</v>
      </c>
      <c r="D10" s="1" t="n">
        <v>1.25</v>
      </c>
    </row>
    <row r="12" customFormat="false" ht="15" hidden="false" customHeight="false" outlineLevel="0" collapsed="false">
      <c r="B12" s="1" t="s">
        <v>4</v>
      </c>
      <c r="D12" s="1" t="n">
        <v>49400000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1.38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25</v>
      </c>
    </row>
    <row r="3" customFormat="false" ht="15" hidden="false" customHeight="false" outlineLevel="0" collapsed="false">
      <c r="B3" s="1" t="s">
        <v>17</v>
      </c>
      <c r="D3" s="1" t="s">
        <v>7</v>
      </c>
    </row>
    <row r="5" customFormat="false" ht="15" hidden="false" customHeight="false" outlineLevel="0" collapsed="false">
      <c r="B5" s="1" t="s">
        <v>18</v>
      </c>
      <c r="D5" s="1" t="n">
        <v>1769200</v>
      </c>
    </row>
    <row r="6" customFormat="false" ht="15" hidden="false" customHeight="false" outlineLevel="0" collapsed="false">
      <c r="B6" s="1" t="s">
        <v>19</v>
      </c>
      <c r="D6" s="1" t="n">
        <v>1000000</v>
      </c>
    </row>
    <row r="7" customFormat="false" ht="15" hidden="false" customHeight="false" outlineLevel="0" collapsed="false">
      <c r="B7" s="1" t="s">
        <v>20</v>
      </c>
      <c r="D7" s="1" t="n">
        <v>1701000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1350500</v>
      </c>
    </row>
    <row r="10" customFormat="false" ht="15" hidden="false" customHeight="false" outlineLevel="0" collapsed="false">
      <c r="B10" s="1" t="s">
        <v>22</v>
      </c>
      <c r="D10" s="1" t="n">
        <v>1.25</v>
      </c>
    </row>
    <row r="12" customFormat="false" ht="15" hidden="false" customHeight="false" outlineLevel="0" collapsed="false">
      <c r="B12" s="1" t="s">
        <v>4</v>
      </c>
      <c r="D12" s="1" t="n">
        <v>49400000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1.31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26</v>
      </c>
    </row>
    <row r="3" customFormat="false" ht="15" hidden="false" customHeight="false" outlineLevel="0" collapsed="false">
      <c r="B3" s="1" t="s">
        <v>17</v>
      </c>
      <c r="D3" s="1" t="s">
        <v>8</v>
      </c>
    </row>
    <row r="5" customFormat="false" ht="15" hidden="false" customHeight="false" outlineLevel="0" collapsed="false">
      <c r="B5" s="1" t="s">
        <v>18</v>
      </c>
      <c r="D5" s="1" t="n">
        <v>1757200</v>
      </c>
    </row>
    <row r="6" customFormat="false" ht="15" hidden="false" customHeight="false" outlineLevel="0" collapsed="false">
      <c r="B6" s="1" t="s">
        <v>19</v>
      </c>
      <c r="D6" s="1" t="n">
        <v>1100000</v>
      </c>
    </row>
    <row r="7" customFormat="false" ht="15" hidden="false" customHeight="false" outlineLevel="0" collapsed="false">
      <c r="B7" s="1" t="s">
        <v>20</v>
      </c>
      <c r="D7" s="1" t="n">
        <v>1667250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1383625</v>
      </c>
    </row>
    <row r="10" customFormat="false" ht="15" hidden="false" customHeight="false" outlineLevel="0" collapsed="false">
      <c r="B10" s="1" t="s">
        <v>22</v>
      </c>
      <c r="D10" s="1" t="n">
        <v>1.25</v>
      </c>
    </row>
    <row r="12" customFormat="false" ht="15" hidden="false" customHeight="false" outlineLevel="0" collapsed="false">
      <c r="B12" s="1" t="s">
        <v>4</v>
      </c>
      <c r="D12" s="1" t="n">
        <v>48300000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1.27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27</v>
      </c>
    </row>
    <row r="3" customFormat="false" ht="15" hidden="false" customHeight="false" outlineLevel="0" collapsed="false">
      <c r="B3" s="1" t="s">
        <v>17</v>
      </c>
      <c r="D3" s="1" t="s">
        <v>9</v>
      </c>
    </row>
    <row r="5" customFormat="false" ht="15" hidden="false" customHeight="false" outlineLevel="0" collapsed="false">
      <c r="B5" s="1" t="s">
        <v>18</v>
      </c>
      <c r="D5" s="1" t="n">
        <v>1715700</v>
      </c>
    </row>
    <row r="6" customFormat="false" ht="15" hidden="false" customHeight="false" outlineLevel="0" collapsed="false">
      <c r="B6" s="1" t="s">
        <v>19</v>
      </c>
      <c r="D6" s="1" t="n">
        <v>1100000</v>
      </c>
    </row>
    <row r="7" customFormat="false" ht="15" hidden="false" customHeight="false" outlineLevel="0" collapsed="false">
      <c r="B7" s="1" t="s">
        <v>20</v>
      </c>
      <c r="D7" s="1" t="n">
        <v>1667250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1383625</v>
      </c>
    </row>
    <row r="10" customFormat="false" ht="15" hidden="false" customHeight="false" outlineLevel="0" collapsed="false">
      <c r="B10" s="1" t="s">
        <v>22</v>
      </c>
      <c r="D10" s="1" t="n">
        <v>1.25</v>
      </c>
    </row>
    <row r="12" customFormat="false" ht="15" hidden="false" customHeight="false" outlineLevel="0" collapsed="false">
      <c r="B12" s="1" t="s">
        <v>4</v>
      </c>
      <c r="D12" s="1" t="n">
        <v>48300000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1.24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28</v>
      </c>
    </row>
    <row r="3" customFormat="false" ht="15" hidden="false" customHeight="false" outlineLevel="0" collapsed="false">
      <c r="B3" s="1" t="s">
        <v>17</v>
      </c>
      <c r="D3" s="1" t="s">
        <v>10</v>
      </c>
    </row>
    <row r="5" customFormat="false" ht="15" hidden="false" customHeight="false" outlineLevel="0" collapsed="false">
      <c r="B5" s="1" t="s">
        <v>18</v>
      </c>
      <c r="D5" s="1" t="n">
        <v>1638700</v>
      </c>
    </row>
    <row r="6" customFormat="false" ht="15" hidden="false" customHeight="false" outlineLevel="0" collapsed="false">
      <c r="B6" s="1" t="s">
        <v>19</v>
      </c>
      <c r="D6" s="1" t="n">
        <v>1300000</v>
      </c>
    </row>
    <row r="7" customFormat="false" ht="15" hidden="false" customHeight="false" outlineLevel="0" collapsed="false">
      <c r="B7" s="1" t="s">
        <v>20</v>
      </c>
      <c r="D7" s="1" t="n">
        <v>1364475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1332237.5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47000000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1.23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29</v>
      </c>
    </row>
    <row r="3" customFormat="false" ht="15" hidden="false" customHeight="false" outlineLevel="0" collapsed="false">
      <c r="B3" s="1" t="s">
        <v>17</v>
      </c>
      <c r="D3" s="1" t="s">
        <v>11</v>
      </c>
    </row>
    <row r="5" customFormat="false" ht="15" hidden="false" customHeight="false" outlineLevel="0" collapsed="false">
      <c r="B5" s="1" t="s">
        <v>18</v>
      </c>
      <c r="D5" s="1" t="n">
        <v>1718600</v>
      </c>
    </row>
    <row r="6" customFormat="false" ht="15" hidden="false" customHeight="false" outlineLevel="0" collapsed="false">
      <c r="B6" s="1" t="s">
        <v>19</v>
      </c>
      <c r="D6" s="1" t="n">
        <v>1300000</v>
      </c>
    </row>
    <row r="7" customFormat="false" ht="15" hidden="false" customHeight="false" outlineLevel="0" collapsed="false">
      <c r="B7" s="1" t="s">
        <v>20</v>
      </c>
      <c r="D7" s="1" t="n">
        <v>1364475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1332237.5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47000000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1.29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30</v>
      </c>
    </row>
    <row r="3" customFormat="false" ht="15" hidden="false" customHeight="false" outlineLevel="0" collapsed="false">
      <c r="B3" s="1" t="s">
        <v>17</v>
      </c>
      <c r="D3" s="1" t="s">
        <v>12</v>
      </c>
    </row>
    <row r="5" customFormat="false" ht="15" hidden="false" customHeight="false" outlineLevel="0" collapsed="false">
      <c r="B5" s="1" t="s">
        <v>18</v>
      </c>
      <c r="D5" s="1" t="n">
        <v>1814000</v>
      </c>
    </row>
    <row r="6" customFormat="false" ht="15" hidden="false" customHeight="false" outlineLevel="0" collapsed="false">
      <c r="B6" s="1" t="s">
        <v>19</v>
      </c>
      <c r="D6" s="1" t="n">
        <v>1400000</v>
      </c>
    </row>
    <row r="7" customFormat="false" ht="15" hidden="false" customHeight="false" outlineLevel="0" collapsed="false">
      <c r="B7" s="1" t="s">
        <v>20</v>
      </c>
      <c r="D7" s="1" t="n">
        <v>1327750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1363875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45600000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1.33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31</v>
      </c>
    </row>
    <row r="3" customFormat="false" ht="15" hidden="false" customHeight="false" outlineLevel="0" collapsed="false">
      <c r="B3" s="1" t="s">
        <v>17</v>
      </c>
      <c r="D3" s="1" t="s">
        <v>13</v>
      </c>
    </row>
    <row r="5" customFormat="false" ht="15" hidden="false" customHeight="false" outlineLevel="0" collapsed="false">
      <c r="B5" s="1" t="s">
        <v>18</v>
      </c>
      <c r="D5" s="1" t="n">
        <v>1854900</v>
      </c>
    </row>
    <row r="6" customFormat="false" ht="15" hidden="false" customHeight="false" outlineLevel="0" collapsed="false">
      <c r="B6" s="1" t="s">
        <v>19</v>
      </c>
      <c r="D6" s="1" t="n">
        <v>1400000</v>
      </c>
    </row>
    <row r="7" customFormat="false" ht="15" hidden="false" customHeight="false" outlineLevel="0" collapsed="false">
      <c r="B7" s="1" t="s">
        <v>20</v>
      </c>
      <c r="D7" s="1" t="n">
        <v>1327750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1363875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45600000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1.36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32</v>
      </c>
    </row>
    <row r="3" customFormat="false" ht="15" hidden="false" customHeight="false" outlineLevel="0" collapsed="false">
      <c r="B3" s="1" t="s">
        <v>17</v>
      </c>
      <c r="D3" s="1" t="s">
        <v>14</v>
      </c>
    </row>
    <row r="5" customFormat="false" ht="15" hidden="false" customHeight="false" outlineLevel="0" collapsed="false">
      <c r="B5" s="1" t="s">
        <v>18</v>
      </c>
      <c r="D5" s="1" t="n">
        <v>1822300</v>
      </c>
    </row>
    <row r="6" customFormat="false" ht="15" hidden="false" customHeight="false" outlineLevel="0" collapsed="false">
      <c r="B6" s="1" t="s">
        <v>19</v>
      </c>
      <c r="D6" s="1" t="n">
        <v>1500000</v>
      </c>
    </row>
    <row r="7" customFormat="false" ht="15" hidden="false" customHeight="false" outlineLevel="0" collapsed="false">
      <c r="B7" s="1" t="s">
        <v>20</v>
      </c>
      <c r="D7" s="1" t="n">
        <v>1219800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1359900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44100000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1.34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52"/>
    <col collapsed="false" customWidth="true" hidden="false" outlineLevel="0" max="4" min="4" style="1" width="18"/>
  </cols>
  <sheetData>
    <row r="1" customFormat="false" ht="15" hidden="false" customHeight="false" outlineLevel="0" collapsed="false">
      <c r="A1" s="2" t="s">
        <v>33</v>
      </c>
    </row>
    <row r="3" customFormat="false" ht="15" hidden="false" customHeight="false" outlineLevel="0" collapsed="false">
      <c r="B3" s="1" t="s">
        <v>17</v>
      </c>
      <c r="D3" s="1" t="s">
        <v>15</v>
      </c>
    </row>
    <row r="5" customFormat="false" ht="15" hidden="false" customHeight="false" outlineLevel="0" collapsed="false">
      <c r="B5" s="1" t="s">
        <v>18</v>
      </c>
      <c r="D5" s="1" t="n">
        <v>1863100</v>
      </c>
    </row>
    <row r="6" customFormat="false" ht="15" hidden="false" customHeight="false" outlineLevel="0" collapsed="false">
      <c r="B6" s="1" t="s">
        <v>19</v>
      </c>
      <c r="D6" s="1" t="n">
        <v>1500000</v>
      </c>
    </row>
    <row r="7" customFormat="false" ht="15" hidden="false" customHeight="false" outlineLevel="0" collapsed="false">
      <c r="B7" s="1" t="s">
        <v>20</v>
      </c>
      <c r="D7" s="1" t="n">
        <v>1219800</v>
      </c>
    </row>
    <row r="8" customFormat="false" ht="15" hidden="false" customHeight="false" outlineLevel="0" collapsed="false">
      <c r="B8" s="1" t="s">
        <v>21</v>
      </c>
      <c r="D8" s="1" t="n">
        <f aca="false">(D6+D7)/2</f>
        <v>1359900</v>
      </c>
    </row>
    <row r="10" customFormat="false" ht="15" hidden="false" customHeight="false" outlineLevel="0" collapsed="false">
      <c r="B10" s="1" t="s">
        <v>22</v>
      </c>
      <c r="D10" s="1" t="n">
        <v>1.2</v>
      </c>
    </row>
    <row r="12" customFormat="false" ht="15" hidden="false" customHeight="false" outlineLevel="0" collapsed="false">
      <c r="B12" s="1" t="s">
        <v>4</v>
      </c>
      <c r="D12" s="1" t="n">
        <v>44100000</v>
      </c>
    </row>
    <row r="14" customFormat="false" ht="15" hidden="false" customHeight="false" outlineLevel="0" collapsed="false">
      <c r="B14" s="1" t="s">
        <v>23</v>
      </c>
      <c r="D14" s="1" t="n">
        <f aca="false">ROUND(D5/D8,2)</f>
        <v>1.37</v>
      </c>
    </row>
    <row r="15" customFormat="false" ht="15" hidden="false" customHeight="false" outlineLevel="0" collapsed="false">
      <c r="B15" s="1" t="s">
        <v>3</v>
      </c>
      <c r="D15" s="1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1" t="s">
        <v>35</v>
      </c>
      <c r="B2" s="1" t="s">
        <v>36</v>
      </c>
    </row>
    <row r="3" customFormat="false" ht="15" hidden="false" customHeight="false" outlineLevel="0" collapsed="false">
      <c r="A3" s="1" t="s">
        <v>37</v>
      </c>
      <c r="B3" s="1" t="n">
        <v>1</v>
      </c>
    </row>
    <row r="4" customFormat="false" ht="15" hidden="false" customHeight="false" outlineLevel="0" collapsed="false">
      <c r="A4" s="1" t="s">
        <v>38</v>
      </c>
      <c r="B4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2026-09-25T08:51:04Z</dcterms:created>
  <dc:creator>openpyxl</dc:creator>
  <dc:description/>
  <dc:language>en-US</dc:language>
  <cp:lastModifiedBy/>
  <dcterms:modified xsi:type="dcterms:W3CDTF">2026-09-25T08:51:04Z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