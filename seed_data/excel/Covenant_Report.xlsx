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Q4_2023" sheetId="2" state="visible" r:id="rId3"/>
    <sheet name="Q1_2024" sheetId="3" state="visible" r:id="rId4"/>
    <sheet name="Q2_2024" sheetId="4" state="visible" r:id="rId5"/>
    <sheet name="Q3_2024" sheetId="5" state="visible" r:id="rId6"/>
    <sheet name="Q4_2024" sheetId="6" state="visible" r:id="rId7"/>
    <sheet name="Q1_2025" sheetId="7" state="visible" r:id="rId8"/>
    <sheet name="Q2_2025" sheetId="8" state="visible" r:id="rId9"/>
    <sheet name="Q3_2025" sheetId="9" state="visible" r:id="rId10"/>
    <sheet name="Q4_2025" sheetId="10" state="visible" r:id="rId11"/>
    <sheet name="Q1_2026" sheetId="11" state="visible" r:id="rId12"/>
    <sheet name="Q2_2026" sheetId="12" state="visible" r:id="rId13"/>
    <sheet name="_meta" sheetId="13" state="hidden" r:id="rId14"/>
  </sheets>
  <definedNames>
    <definedName function="false" hidden="false" name="DSCR_Q1_2024" vbProcedure="false">Q1_2024!$D$14</definedName>
    <definedName function="false" hidden="false" name="DSCR_Q1_2025" vbProcedure="false">Q1_2025!$D$14</definedName>
    <definedName function="false" hidden="false" name="DSCR_Q1_2026" vbProcedure="false">Q1_2026!$D$14</definedName>
    <definedName function="false" hidden="false" name="DSCR_Q2_2024" vbProcedure="false">Q2_2024!$D$14</definedName>
    <definedName function="false" hidden="false" name="DSCR_Q2_2025" vbProcedure="false">Q2_2025!$D$14</definedName>
    <definedName function="false" hidden="false" name="DSCR_Q2_2026" vbProcedure="false">Q2_2026!$D$14</definedName>
    <definedName function="false" hidden="false" name="DSCR_Q3_2024" vbProcedure="false">Q3_2024!$D$14</definedName>
    <definedName function="false" hidden="false" name="DSCR_Q3_2025" vbProcedure="false">Q3_2025!$D$14</definedName>
    <definedName function="false" hidden="false" name="DSCR_Q4_2023" vbProcedure="false">Q4_2023!$D$14</definedName>
    <definedName function="false" hidden="false" name="DSCR_Q4_2024" vbProcedure="false">Q4_2024!$D$14</definedName>
    <definedName function="false" hidden="false" name="DSCR_Q4_2025" vbProcedure="false">Q4_2025!$D$14</definedName>
    <definedName function="false" hidden="false" name="Ledger_DemoToday" vbProcedure="false">_meta!$B$4</definedName>
    <definedName function="false" hidden="false" name="Outstanding_Q1_2024" vbProcedure="false">Q1_2024!$D$12</definedName>
    <definedName function="false" hidden="false" name="Outstanding_Q1_2025" vbProcedure="false">Q1_2025!$D$12</definedName>
    <definedName function="false" hidden="false" name="Outstanding_Q1_2026" vbProcedure="false">Q1_2026!$D$12</definedName>
    <definedName function="false" hidden="false" name="Outstanding_Q2_2024" vbProcedure="false">Q2_2024!$D$12</definedName>
    <definedName function="false" hidden="false" name="Outstanding_Q2_2025" vbProcedure="false">Q2_2025!$D$12</definedName>
    <definedName function="false" hidden="false" name="Outstanding_Q2_2026" vbProcedure="false">Q2_2026!$D$12</definedName>
    <definedName function="false" hidden="false" name="Outstanding_Q3_2024" vbProcedure="false">Q3_2024!$D$12</definedName>
    <definedName function="false" hidden="false" name="Outstanding_Q3_2025" vbProcedure="false">Q3_2025!$D$12</definedName>
    <definedName function="false" hidden="false" name="Outstanding_Q4_2023" vbProcedure="false">Q4_2023!$D$12</definedName>
    <definedName function="false" hidden="false" name="Outstanding_Q4_2024" vbProcedure="false">Q4_2024!$D$12</definedName>
    <definedName function="false" hidden="false" name="Outstanding_Q4_2025" vbProcedure="false">Q4_2025!$D$12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<sst xmlns="http://schemas.openxmlformats.org/spreadsheetml/2006/main" count="143" uniqueCount="40">
  <si>
    <t xml:space="preserve">Quarter</t>
  </si>
  <si>
    <t xml:space="preserve">DSCR</t>
  </si>
  <si>
    <t xml:space="preserve">Covenant</t>
  </si>
  <si>
    <t xml:space="preserve">Result</t>
  </si>
  <si>
    <t xml:space="preserve">Outstanding after half (USD)</t>
  </si>
  <si>
    <t xml:space="preserve">Q4_2023</t>
  </si>
  <si>
    <t xml:space="preserve">Q1_2024</t>
  </si>
  <si>
    <t xml:space="preserve">Q2_2024</t>
  </si>
  <si>
    <t xml:space="preserve">Q3_2024</t>
  </si>
  <si>
    <t xml:space="preserve">Q4_2024</t>
  </si>
  <si>
    <t xml:space="preserve">Q1_2025</t>
  </si>
  <si>
    <t xml:space="preserve">Q2_2025</t>
  </si>
  <si>
    <t xml:space="preserve">Q3_2025</t>
  </si>
  <si>
    <t xml:space="preserve">Q4_2025</t>
  </si>
  <si>
    <t xml:space="preserve">Q1_2026</t>
  </si>
  <si>
    <t xml:space="preserve">Q2_2026</t>
  </si>
  <si>
    <t xml:space="preserve">Covenant compliance test — Q4_2023</t>
  </si>
  <si>
    <t xml:space="preserve">Period</t>
  </si>
  <si>
    <t xml:space="preserve">CFADS (USD)</t>
  </si>
  <si>
    <t xml:space="preserve">Principal, half-year (USD)</t>
  </si>
  <si>
    <t xml:space="preserve">Interest, half-year (USD)</t>
  </si>
  <si>
    <t xml:space="preserve">Debt service, quarter (USD) = (principal + interest) / 2</t>
  </si>
  <si>
    <t xml:space="preserve">Covenant threshold (min DSCR)</t>
  </si>
  <si>
    <t xml:space="preserve">DSCR = CFADS / debt service</t>
  </si>
  <si>
    <t xml:space="preserve">Covenant compliance test — Q1_2024</t>
  </si>
  <si>
    <t xml:space="preserve">Covenant compliance test — Q2_2024</t>
  </si>
  <si>
    <t xml:space="preserve">Covenant compliance test — Q3_2024</t>
  </si>
  <si>
    <t xml:space="preserve">Covenant compliance test — Q4_2024</t>
  </si>
  <si>
    <t xml:space="preserve">Covenant compliance test — Q1_2025</t>
  </si>
  <si>
    <t xml:space="preserve">Covenant compliance test — Q2_2025</t>
  </si>
  <si>
    <t xml:space="preserve">Covenant compliance test — Q3_2025</t>
  </si>
  <si>
    <t xml:space="preserve">Covenant compliance test — Q4_2025</t>
  </si>
  <si>
    <t xml:space="preserve">Covenant compliance test — Q1_2026</t>
  </si>
  <si>
    <t xml:space="preserve">Covenant compliance test — Q2_2026</t>
  </si>
  <si>
    <t xml:space="preserve">DEMO — synthetic demo workbook (Company AI V0); figures are fictional</t>
  </si>
  <si>
    <t xml:space="preserve">generated_at</t>
  </si>
  <si>
    <t xml:space="preserve">2026-10-11T18:22:15+00:00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</si>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</sst>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f aca="false">Q4_2023!D14</f>
        <v>1.42</v>
      </c>
      <c r="C2" s="0" t="n">
        <f aca="false">Q4_2023!D10</f>
        <v>1.25</v>
      </c>
      <c r="D2" s="0" t="str">
        <f aca="false">Q4_2023!D15</f>
        <v>pass</v>
      </c>
      <c r="E2" s="0" t="n">
        <f aca="false">Q4_2023!D12</f>
        <v>13220400</v>
      </c>
    </row>
    <row r="3" customFormat="false" ht="15" hidden="false" customHeight="false" outlineLevel="0" collapsed="false">
      <c r="A3" s="0" t="s">
        <v>6</v>
      </c>
      <c r="B3" s="0" t="n">
        <f aca="false">Q1_2024!D14</f>
        <v>1.38</v>
      </c>
      <c r="C3" s="0" t="n">
        <f aca="false">Q1_2024!D10</f>
        <v>1.25</v>
      </c>
      <c r="D3" s="0" t="str">
        <f aca="false">Q1_2024!D15</f>
        <v>pass</v>
      </c>
      <c r="E3" s="0" t="n">
        <f aca="false">Q1_2024!D12</f>
        <v>12979200</v>
      </c>
    </row>
    <row r="4" customFormat="false" ht="15" hidden="false" customHeight="false" outlineLevel="0" collapsed="false">
      <c r="A4" s="0" t="s">
        <v>7</v>
      </c>
      <c r="B4" s="0" t="n">
        <f aca="false">Q2_2024!D14</f>
        <v>1.31</v>
      </c>
      <c r="C4" s="0" t="n">
        <f aca="false">Q2_2024!D10</f>
        <v>1.25</v>
      </c>
      <c r="D4" s="0" t="str">
        <f aca="false">Q2_2024!D15</f>
        <v>pass</v>
      </c>
      <c r="E4" s="0" t="n">
        <f aca="false">Q2_2024!D12</f>
        <v>12979200</v>
      </c>
    </row>
    <row r="5" customFormat="false" ht="15" hidden="false" customHeight="false" outlineLevel="0" collapsed="false">
      <c r="A5" s="0" t="s">
        <v>8</v>
      </c>
      <c r="B5" s="0" t="n">
        <f aca="false">Q3_2024!D14</f>
        <v>1.27</v>
      </c>
      <c r="C5" s="0" t="n">
        <f aca="false">Q3_2024!D10</f>
        <v>1.25</v>
      </c>
      <c r="D5" s="0" t="str">
        <f aca="false">Q3_2024!D15</f>
        <v>pass</v>
      </c>
      <c r="E5" s="0" t="n">
        <f aca="false">Q3_2024!D12</f>
        <v>12703700</v>
      </c>
    </row>
    <row r="6" customFormat="false" ht="15" hidden="false" customHeight="false" outlineLevel="0" collapsed="false">
      <c r="A6" s="0" t="s">
        <v>9</v>
      </c>
      <c r="B6" s="0" t="n">
        <f aca="false">Q4_2024!D14</f>
        <v>1.24</v>
      </c>
      <c r="C6" s="0" t="n">
        <f aca="false">Q4_2024!D10</f>
        <v>1.25</v>
      </c>
      <c r="D6" s="0" t="str">
        <f aca="false">Q4_2024!D15</f>
        <v>fail</v>
      </c>
      <c r="E6" s="0" t="n">
        <f aca="false">Q4_2024!D12</f>
        <v>12703700</v>
      </c>
    </row>
    <row r="7" customFormat="false" ht="15" hidden="false" customHeight="false" outlineLevel="0" collapsed="false">
      <c r="A7" s="0" t="s">
        <v>10</v>
      </c>
      <c r="B7" s="0" t="n">
        <f aca="false">Q1_2025!D14</f>
        <v>1.23</v>
      </c>
      <c r="C7" s="0" t="n">
        <f aca="false">Q1_2025!D10</f>
        <v>1.2</v>
      </c>
      <c r="D7" s="0" t="str">
        <f aca="false">Q1_2025!D15</f>
        <v>pass</v>
      </c>
      <c r="E7" s="0" t="n">
        <f aca="false">Q1_2025!D12</f>
        <v>12394000</v>
      </c>
    </row>
    <row r="8" customFormat="false" ht="15" hidden="false" customHeight="false" outlineLevel="0" collapsed="false">
      <c r="A8" s="0" t="s">
        <v>11</v>
      </c>
      <c r="B8" s="0" t="n">
        <f aca="false">Q2_2025!D14</f>
        <v>1.29</v>
      </c>
      <c r="C8" s="0" t="n">
        <f aca="false">Q2_2025!D10</f>
        <v>1.2</v>
      </c>
      <c r="D8" s="0" t="str">
        <f aca="false">Q2_2025!D15</f>
        <v>pass</v>
      </c>
      <c r="E8" s="0" t="n">
        <f aca="false">Q2_2025!D12</f>
        <v>12394000</v>
      </c>
    </row>
    <row r="9" customFormat="false" ht="15" hidden="false" customHeight="false" outlineLevel="0" collapsed="false">
      <c r="A9" s="0" t="s">
        <v>12</v>
      </c>
      <c r="B9" s="0" t="n">
        <f aca="false">Q3_2025!D14</f>
        <v>1.33</v>
      </c>
      <c r="C9" s="0" t="n">
        <f aca="false">Q3_2025!D10</f>
        <v>1.2</v>
      </c>
      <c r="D9" s="0" t="str">
        <f aca="false">Q3_2025!D15</f>
        <v>pass</v>
      </c>
      <c r="E9" s="0" t="n">
        <f aca="false">Q3_2025!D12</f>
        <v>12050000</v>
      </c>
    </row>
    <row r="10" customFormat="false" ht="15" hidden="false" customHeight="false" outlineLevel="0" collapsed="false">
      <c r="A10" s="0" t="s">
        <v>13</v>
      </c>
      <c r="B10" s="0" t="n">
        <f aca="false">Q4_2025!D14</f>
        <v>1.36</v>
      </c>
      <c r="C10" s="0" t="n">
        <f aca="false">Q4_2025!D10</f>
        <v>1.2</v>
      </c>
      <c r="D10" s="0" t="str">
        <f aca="false">Q4_2025!D15</f>
        <v>pass</v>
      </c>
      <c r="E10" s="0" t="n">
        <f aca="false">Q4_2025!D12</f>
        <v>12050000</v>
      </c>
    </row>
    <row r="11" customFormat="false" ht="15" hidden="false" customHeight="false" outlineLevel="0" collapsed="false">
      <c r="A11" s="0" t="s">
        <v>14</v>
      </c>
      <c r="B11" s="0" t="n">
        <f aca="false">Q1_2026!D14</f>
        <v>1.34</v>
      </c>
      <c r="C11" s="0" t="n">
        <f aca="false">Q1_2026!D10</f>
        <v>1.2</v>
      </c>
      <c r="D11" s="0" t="str">
        <f aca="false">Q1_2026!D15</f>
        <v>pass</v>
      </c>
      <c r="E11" s="0" t="n">
        <f aca="false">Q1_2026!D12</f>
        <v>11671800</v>
      </c>
    </row>
    <row r="12" customFormat="false" ht="15" hidden="false" customHeight="false" outlineLevel="0" collapsed="false">
      <c r="A12" s="0" t="s">
        <v>15</v>
      </c>
      <c r="B12" s="0" t="n">
        <f aca="false">Q2_2026!D14</f>
        <v>1.37</v>
      </c>
      <c r="C12" s="0" t="n">
        <f aca="false">Q2_2026!D10</f>
        <v>1.2</v>
      </c>
      <c r="D12" s="0" t="str">
        <f aca="false">Q2_2026!D15</f>
        <v>pass</v>
      </c>
      <c r="E12" s="0" t="n">
        <f aca="false">Q2_2026!D12</f>
        <v>11671800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B3" s="0" t="s">
        <v>17</v>
      </c>
      <c r="D3" s="0" t="s">
        <v>5</v>
      </c>
    </row>
    <row r="5" customFormat="false" ht="15" hidden="false" customHeight="false" outlineLevel="0" collapsed="false">
      <c r="B5" s="0" t="s">
        <v>18</v>
      </c>
      <c r="D5" s="0" t="n">
        <v>513900</v>
      </c>
    </row>
    <row r="6" customFormat="false" ht="15" hidden="false" customHeight="false" outlineLevel="0" collapsed="false">
      <c r="B6" s="0" t="s">
        <v>19</v>
      </c>
      <c r="D6" s="0" t="n">
        <v>206900</v>
      </c>
    </row>
    <row r="7" customFormat="false" ht="15" hidden="false" customHeight="false" outlineLevel="0" collapsed="false">
      <c r="B7" s="0" t="s">
        <v>20</v>
      </c>
      <c r="D7" s="0" t="n">
        <v>516951.05</v>
      </c>
    </row>
    <row r="8" customFormat="false" ht="15" hidden="false" customHeight="false" outlineLevel="0" collapsed="false">
      <c r="B8" s="0" t="s">
        <v>21</v>
      </c>
      <c r="D8" s="0" t="n">
        <f aca="false">(D6+D7)/2</f>
        <v>361925.525</v>
      </c>
    </row>
    <row r="10" customFormat="false" ht="15" hidden="false" customHeight="false" outlineLevel="0" collapsed="false">
      <c r="B10" s="0" t="s">
        <v>22</v>
      </c>
      <c r="D10" s="0" t="n">
        <v>1.25</v>
      </c>
    </row>
    <row r="12" customFormat="false" ht="15" hidden="false" customHeight="false" outlineLevel="0" collapsed="false">
      <c r="B12" s="0" t="s">
        <v>4</v>
      </c>
      <c r="D12" s="0" t="n">
        <v>13220400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1.42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24</v>
      </c>
    </row>
    <row r="3" customFormat="false" ht="15" hidden="false" customHeight="false" outlineLevel="0" collapsed="false">
      <c r="B3" s="0" t="s">
        <v>17</v>
      </c>
      <c r="D3" s="0" t="s">
        <v>6</v>
      </c>
    </row>
    <row r="5" customFormat="false" ht="15" hidden="false" customHeight="false" outlineLevel="0" collapsed="false">
      <c r="B5" s="0" t="s">
        <v>18</v>
      </c>
      <c r="D5" s="0" t="n">
        <v>526800</v>
      </c>
    </row>
    <row r="6" customFormat="false" ht="15" hidden="false" customHeight="false" outlineLevel="0" collapsed="false">
      <c r="B6" s="0" t="s">
        <v>19</v>
      </c>
      <c r="D6" s="0" t="n">
        <v>241200</v>
      </c>
    </row>
    <row r="7" customFormat="false" ht="15" hidden="false" customHeight="false" outlineLevel="0" collapsed="false">
      <c r="B7" s="0" t="s">
        <v>20</v>
      </c>
      <c r="D7" s="0" t="n">
        <v>522205.8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381702.9</v>
      </c>
    </row>
    <row r="10" customFormat="false" ht="15" hidden="false" customHeight="false" outlineLevel="0" collapsed="false">
      <c r="B10" s="0" t="s">
        <v>22</v>
      </c>
      <c r="D10" s="0" t="n">
        <v>1.25</v>
      </c>
    </row>
    <row r="12" customFormat="false" ht="15" hidden="false" customHeight="false" outlineLevel="0" collapsed="false">
      <c r="B12" s="0" t="s">
        <v>4</v>
      </c>
      <c r="D12" s="0" t="n">
        <v>12979200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1.38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B3" s="0" t="s">
        <v>17</v>
      </c>
      <c r="D3" s="0" t="s">
        <v>7</v>
      </c>
    </row>
    <row r="5" customFormat="false" ht="15" hidden="false" customHeight="false" outlineLevel="0" collapsed="false">
      <c r="B5" s="0" t="s">
        <v>18</v>
      </c>
      <c r="D5" s="0" t="n">
        <v>500000</v>
      </c>
    </row>
    <row r="6" customFormat="false" ht="15" hidden="false" customHeight="false" outlineLevel="0" collapsed="false">
      <c r="B6" s="0" t="s">
        <v>19</v>
      </c>
      <c r="D6" s="0" t="n">
        <v>241200</v>
      </c>
    </row>
    <row r="7" customFormat="false" ht="15" hidden="false" customHeight="false" outlineLevel="0" collapsed="false">
      <c r="B7" s="0" t="s">
        <v>20</v>
      </c>
      <c r="D7" s="0" t="n">
        <v>522205.8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381702.9</v>
      </c>
    </row>
    <row r="10" customFormat="false" ht="15" hidden="false" customHeight="false" outlineLevel="0" collapsed="false">
      <c r="B10" s="0" t="s">
        <v>22</v>
      </c>
      <c r="D10" s="0" t="n">
        <v>1.25</v>
      </c>
    </row>
    <row r="12" customFormat="false" ht="15" hidden="false" customHeight="false" outlineLevel="0" collapsed="false">
      <c r="B12" s="0" t="s">
        <v>4</v>
      </c>
      <c r="D12" s="0" t="n">
        <v>12979200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1.31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26</v>
      </c>
    </row>
    <row r="3" customFormat="false" ht="15" hidden="false" customHeight="false" outlineLevel="0" collapsed="false">
      <c r="B3" s="0" t="s">
        <v>17</v>
      </c>
      <c r="D3" s="0" t="s">
        <v>8</v>
      </c>
    </row>
    <row r="5" customFormat="false" ht="15" hidden="false" customHeight="false" outlineLevel="0" collapsed="false">
      <c r="B5" s="0" t="s">
        <v>18</v>
      </c>
      <c r="D5" s="0" t="n">
        <v>500500</v>
      </c>
    </row>
    <row r="6" customFormat="false" ht="15" hidden="false" customHeight="false" outlineLevel="0" collapsed="false">
      <c r="B6" s="0" t="s">
        <v>19</v>
      </c>
      <c r="D6" s="0" t="n">
        <v>275500</v>
      </c>
    </row>
    <row r="7" customFormat="false" ht="15" hidden="false" customHeight="false" outlineLevel="0" collapsed="false">
      <c r="B7" s="0" t="s">
        <v>20</v>
      </c>
      <c r="D7" s="0" t="n">
        <v>512678.4</v>
      </c>
    </row>
    <row r="8" customFormat="false" ht="15" hidden="false" customHeight="false" outlineLevel="0" collapsed="false">
      <c r="B8" s="0" t="s">
        <v>21</v>
      </c>
      <c r="D8" s="0" t="n">
        <f aca="false">(D6+D7)/2</f>
        <v>394089.2</v>
      </c>
    </row>
    <row r="10" customFormat="false" ht="15" hidden="false" customHeight="false" outlineLevel="0" collapsed="false">
      <c r="B10" s="0" t="s">
        <v>22</v>
      </c>
      <c r="D10" s="0" t="n">
        <v>1.25</v>
      </c>
    </row>
    <row r="12" customFormat="false" ht="15" hidden="false" customHeight="false" outlineLevel="0" collapsed="false">
      <c r="B12" s="0" t="s">
        <v>4</v>
      </c>
      <c r="D12" s="0" t="n">
        <v>12703700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1.27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B3" s="0" t="s">
        <v>17</v>
      </c>
      <c r="D3" s="0" t="s">
        <v>9</v>
      </c>
    </row>
    <row r="5" customFormat="false" ht="15" hidden="false" customHeight="false" outlineLevel="0" collapsed="false">
      <c r="B5" s="0" t="s">
        <v>18</v>
      </c>
      <c r="D5" s="0" t="n">
        <v>488700</v>
      </c>
    </row>
    <row r="6" customFormat="false" ht="15" hidden="false" customHeight="false" outlineLevel="0" collapsed="false">
      <c r="B6" s="0" t="s">
        <v>19</v>
      </c>
      <c r="D6" s="0" t="n">
        <v>275500</v>
      </c>
    </row>
    <row r="7" customFormat="false" ht="15" hidden="false" customHeight="false" outlineLevel="0" collapsed="false">
      <c r="B7" s="0" t="s">
        <v>20</v>
      </c>
      <c r="D7" s="0" t="n">
        <v>512678.4</v>
      </c>
    </row>
    <row r="8" customFormat="false" ht="15" hidden="false" customHeight="false" outlineLevel="0" collapsed="false">
      <c r="B8" s="0" t="s">
        <v>21</v>
      </c>
      <c r="D8" s="0" t="n">
        <f aca="false">(D6+D7)/2</f>
        <v>394089.2</v>
      </c>
    </row>
    <row r="10" customFormat="false" ht="15" hidden="false" customHeight="false" outlineLevel="0" collapsed="false">
      <c r="B10" s="0" t="s">
        <v>22</v>
      </c>
      <c r="D10" s="0" t="n">
        <v>1.25</v>
      </c>
    </row>
    <row r="12" customFormat="false" ht="15" hidden="false" customHeight="false" outlineLevel="0" collapsed="false">
      <c r="B12" s="0" t="s">
        <v>4</v>
      </c>
      <c r="D12" s="0" t="n">
        <v>12703700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1.24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fail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28</v>
      </c>
    </row>
    <row r="3" customFormat="false" ht="15" hidden="false" customHeight="false" outlineLevel="0" collapsed="false">
      <c r="B3" s="0" t="s">
        <v>17</v>
      </c>
      <c r="D3" s="0" t="s">
        <v>10</v>
      </c>
    </row>
    <row r="5" customFormat="false" ht="15" hidden="false" customHeight="false" outlineLevel="0" collapsed="false">
      <c r="B5" s="0" t="s">
        <v>18</v>
      </c>
      <c r="D5" s="0" t="n">
        <v>471700</v>
      </c>
    </row>
    <row r="6" customFormat="false" ht="15" hidden="false" customHeight="false" outlineLevel="0" collapsed="false">
      <c r="B6" s="0" t="s">
        <v>19</v>
      </c>
      <c r="D6" s="0" t="n">
        <v>309700</v>
      </c>
    </row>
    <row r="7" customFormat="false" ht="15" hidden="false" customHeight="false" outlineLevel="0" collapsed="false">
      <c r="B7" s="0" t="s">
        <v>20</v>
      </c>
      <c r="D7" s="0" t="n">
        <v>457333.2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383516.6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12394000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1.23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29</v>
      </c>
    </row>
    <row r="3" customFormat="false" ht="15" hidden="false" customHeight="false" outlineLevel="0" collapsed="false">
      <c r="B3" s="0" t="s">
        <v>17</v>
      </c>
      <c r="D3" s="0" t="s">
        <v>11</v>
      </c>
    </row>
    <row r="5" customFormat="false" ht="15" hidden="false" customHeight="false" outlineLevel="0" collapsed="false">
      <c r="B5" s="0" t="s">
        <v>18</v>
      </c>
      <c r="D5" s="0" t="n">
        <v>494700</v>
      </c>
    </row>
    <row r="6" customFormat="false" ht="15" hidden="false" customHeight="false" outlineLevel="0" collapsed="false">
      <c r="B6" s="0" t="s">
        <v>19</v>
      </c>
      <c r="D6" s="0" t="n">
        <v>309700</v>
      </c>
    </row>
    <row r="7" customFormat="false" ht="15" hidden="false" customHeight="false" outlineLevel="0" collapsed="false">
      <c r="B7" s="0" t="s">
        <v>20</v>
      </c>
      <c r="D7" s="0" t="n">
        <v>457333.2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383516.6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12394000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1.29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30</v>
      </c>
    </row>
    <row r="3" customFormat="false" ht="15" hidden="false" customHeight="false" outlineLevel="0" collapsed="false">
      <c r="B3" s="0" t="s">
        <v>17</v>
      </c>
      <c r="D3" s="0" t="s">
        <v>12</v>
      </c>
    </row>
    <row r="5" customFormat="false" ht="15" hidden="false" customHeight="false" outlineLevel="0" collapsed="false">
      <c r="B5" s="0" t="s">
        <v>18</v>
      </c>
      <c r="D5" s="0" t="n">
        <v>525500</v>
      </c>
    </row>
    <row r="6" customFormat="false" ht="15" hidden="false" customHeight="false" outlineLevel="0" collapsed="false">
      <c r="B6" s="0" t="s">
        <v>19</v>
      </c>
      <c r="D6" s="0" t="n">
        <v>344000</v>
      </c>
    </row>
    <row r="7" customFormat="false" ht="15" hidden="false" customHeight="false" outlineLevel="0" collapsed="false">
      <c r="B7" s="0" t="s">
        <v>20</v>
      </c>
      <c r="D7" s="0" t="n">
        <v>446184</v>
      </c>
    </row>
    <row r="8" customFormat="false" ht="15" hidden="false" customHeight="false" outlineLevel="0" collapsed="false">
      <c r="B8" s="0" t="s">
        <v>21</v>
      </c>
      <c r="D8" s="0" t="n">
        <f aca="false">(D6+D7)/2</f>
        <v>395092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12050000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1.33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31</v>
      </c>
    </row>
    <row r="3" customFormat="false" ht="15" hidden="false" customHeight="false" outlineLevel="0" collapsed="false">
      <c r="B3" s="0" t="s">
        <v>17</v>
      </c>
      <c r="D3" s="0" t="s">
        <v>13</v>
      </c>
    </row>
    <row r="5" customFormat="false" ht="15" hidden="false" customHeight="false" outlineLevel="0" collapsed="false">
      <c r="B5" s="0" t="s">
        <v>18</v>
      </c>
      <c r="D5" s="0" t="n">
        <v>537300</v>
      </c>
    </row>
    <row r="6" customFormat="false" ht="15" hidden="false" customHeight="false" outlineLevel="0" collapsed="false">
      <c r="B6" s="0" t="s">
        <v>19</v>
      </c>
      <c r="D6" s="0" t="n">
        <v>344000</v>
      </c>
    </row>
    <row r="7" customFormat="false" ht="15" hidden="false" customHeight="false" outlineLevel="0" collapsed="false">
      <c r="B7" s="0" t="s">
        <v>20</v>
      </c>
      <c r="D7" s="0" t="n">
        <v>446184</v>
      </c>
    </row>
    <row r="8" customFormat="false" ht="15" hidden="false" customHeight="false" outlineLevel="0" collapsed="false">
      <c r="B8" s="0" t="s">
        <v>21</v>
      </c>
      <c r="D8" s="0" t="n">
        <f aca="false">(D6+D7)/2</f>
        <v>395092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12050000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1.36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32</v>
      </c>
    </row>
    <row r="3" customFormat="false" ht="15" hidden="false" customHeight="false" outlineLevel="0" collapsed="false">
      <c r="B3" s="0" t="s">
        <v>17</v>
      </c>
      <c r="D3" s="0" t="s">
        <v>14</v>
      </c>
    </row>
    <row r="5" customFormat="false" ht="15" hidden="false" customHeight="false" outlineLevel="0" collapsed="false">
      <c r="B5" s="0" t="s">
        <v>18</v>
      </c>
      <c r="D5" s="0" t="n">
        <v>515800</v>
      </c>
    </row>
    <row r="6" customFormat="false" ht="15" hidden="false" customHeight="false" outlineLevel="0" collapsed="false">
      <c r="B6" s="0" t="s">
        <v>19</v>
      </c>
      <c r="D6" s="0" t="n">
        <v>378200</v>
      </c>
    </row>
    <row r="7" customFormat="false" ht="15" hidden="false" customHeight="false" outlineLevel="0" collapsed="false">
      <c r="B7" s="0" t="s">
        <v>20</v>
      </c>
      <c r="D7" s="0" t="n">
        <v>391625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384912.5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11671800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1.34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33</v>
      </c>
    </row>
    <row r="3" customFormat="false" ht="15" hidden="false" customHeight="false" outlineLevel="0" collapsed="false">
      <c r="B3" s="0" t="s">
        <v>17</v>
      </c>
      <c r="D3" s="0" t="s">
        <v>15</v>
      </c>
    </row>
    <row r="5" customFormat="false" ht="15" hidden="false" customHeight="false" outlineLevel="0" collapsed="false">
      <c r="B5" s="0" t="s">
        <v>18</v>
      </c>
      <c r="D5" s="0" t="n">
        <v>527300</v>
      </c>
    </row>
    <row r="6" customFormat="false" ht="15" hidden="false" customHeight="false" outlineLevel="0" collapsed="false">
      <c r="B6" s="0" t="s">
        <v>19</v>
      </c>
      <c r="D6" s="0" t="n">
        <v>378200</v>
      </c>
    </row>
    <row r="7" customFormat="false" ht="15" hidden="false" customHeight="false" outlineLevel="0" collapsed="false">
      <c r="B7" s="0" t="s">
        <v>20</v>
      </c>
      <c r="D7" s="0" t="n">
        <v>391625</v>
      </c>
    </row>
    <row r="8" customFormat="false" ht="15" hidden="false" customHeight="false" outlineLevel="0" collapsed="false">
      <c r="B8" s="0" t="s">
        <v>21</v>
      </c>
      <c r="D8" s="0" t="n">
        <f aca="false">(D6+D7)/2</f>
        <v>384912.5</v>
      </c>
    </row>
    <row r="10" customFormat="false" ht="15" hidden="false" customHeight="false" outlineLevel="0" collapsed="false">
      <c r="B10" s="0" t="s">
        <v>22</v>
      </c>
      <c r="D10" s="0" t="n">
        <v>1.2</v>
      </c>
    </row>
    <row r="12" customFormat="false" ht="15" hidden="false" customHeight="false" outlineLevel="0" collapsed="false">
      <c r="B12" s="0" t="s">
        <v>4</v>
      </c>
      <c r="D12" s="0" t="n">
        <v>11671800</v>
      </c>
    </row>
    <row r="14" customFormat="false" ht="15" hidden="false" customHeight="false" outlineLevel="0" collapsed="false">
      <c r="B14" s="0" t="s">
        <v>23</v>
      </c>
      <c r="D14" s="0" t="n">
        <f aca="false">ROUND(D5/D8,2)</f>
        <v>1.37</v>
      </c>
    </row>
    <row r="15" customFormat="false" ht="15" hidden="false" customHeight="false" outlineLevel="0" collapsed="false">
      <c r="B15" s="0" t="s">
        <v>3</v>
      </c>
      <c r="D15" s="0" t="str">
        <f aca="false">IF(D14&gt;=D10,"pass","fail")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</row>
    <row r="3" customFormat="false" ht="15" hidden="false" customHeight="false" outlineLevel="0" collapsed="false">
      <c r="A3" s="0" t="s">
        <v>37</v>
      </c>
      <c r="B3" s="0" t="n">
        <v>1</v>
      </c>
    </row>
    <row r="4" customFormat="false" ht="15" hidden="false" customHeight="false" outlineLevel="0" collapsed="false">
      <c r="A4" s="0" t="s">
        <v>38</v>
      </c>
      <c r="B4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2026-10-11T18:22:15Z</dcterms:created>
  <dc:creator>openpyxl</dc:creator>
  <dc:description/>
  <dc:language>en-US</dc:language>
  <cp:lastModifiedBy/>
  <dcterms:modified xsi:type="dcterms:W3CDTF">2026-10-11T18:22:15Z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