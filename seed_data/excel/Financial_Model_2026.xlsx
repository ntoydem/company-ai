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2"/>
    <sheet name="Debt" sheetId="2" state="visible" r:id="rId3"/>
    <sheet name="DSCR" sheetId="3" state="visible" r:id="rId4"/>
    <sheet name="Cashflow" sheetId="4" state="visible" r:id="rId5"/>
    <sheet name="_meta" sheetId="5" state="hidden" r:id="rId6"/>
  </sheets>
  <definedNames>
    <definedName function="false" hidden="false" name="DSCR_Q1_2024" vbProcedure="false">DSCR!$F$3</definedName>
    <definedName function="false" hidden="false" name="DSCR_Q1_2025" vbProcedure="false">DSCR!$F$7</definedName>
    <definedName function="false" hidden="false" name="DSCR_Q1_2026" vbProcedure="false">DSCR!$F$11</definedName>
    <definedName function="false" hidden="false" name="DSCR_Q2_2024" vbProcedure="false">DSCR!$F$4</definedName>
    <definedName function="false" hidden="false" name="DSCR_Q2_2025" vbProcedure="false">DSCR!$F$8</definedName>
    <definedName function="false" hidden="false" name="DSCR_Q2_2026" vbProcedure="false">DSCR!$F$12</definedName>
    <definedName function="false" hidden="false" name="DSCR_Q3_2024" vbProcedure="false">DSCR!$F$5</definedName>
    <definedName function="false" hidden="false" name="DSCR_Q3_2025" vbProcedure="false">DSCR!$F$9</definedName>
    <definedName function="false" hidden="false" name="DSCR_Q4_2023" vbProcedure="false">DSCR!$F$2</definedName>
    <definedName function="false" hidden="false" name="DSCR_Q4_2024" vbProcedure="false">DSCR!$F$6</definedName>
    <definedName function="false" hidden="false" name="DSCR_Q4_2025" vbProcedure="false">DSCR!$F$10</definedName>
    <definedName function="false" hidden="false" name="Inputs_DemoToday" vbProcedure="false">Inputs!$B$12</definedName>
    <definedName function="false" hidden="false" name="Inputs_Margin" vbProcedure="false">Inputs!$B$7</definedName>
    <definedName function="false" hidden="false" name="Inputs_TotalDebt" vbProcedure="false">Inputs!$B$4</definedName>
    <definedName function="false" hidden="false" name="Ledger_DemoToday" vbProcedure="false">_meta!$B$4</definedName>
    <definedName function="false" hidden="false" name="Outstanding_DemoToday" vbProcedure="false">Debt!$H$9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<sst xmlns="http://schemas.openxmlformats.org/spreadsheetml/2006/main" count="105" uniqueCount="80">
  <si>
    <t xml:space="preserve">Project</t>
  </si>
  <si>
    <t xml:space="preserve">Karatepe RES</t>
  </si>
  <si>
    <t xml:space="preserve">Capex (USD)</t>
  </si>
  <si>
    <t xml:space="preserve">Equity (USD)</t>
  </si>
  <si>
    <t xml:space="preserve">Total debt (USD)</t>
  </si>
  <si>
    <t xml:space="preserve">Local bank debt (USD)</t>
  </si>
  <si>
    <t xml:space="preserve">ECA debt (USD)</t>
  </si>
  <si>
    <t xml:space="preserve">Margin over base, current (%)</t>
  </si>
  <si>
    <t xml:space="preserve">Grace (months)</t>
  </si>
  <si>
    <t xml:space="preserve">Tenor initial (years)</t>
  </si>
  <si>
    <t xml:space="preserve">Tenor current (years)</t>
  </si>
  <si>
    <t xml:space="preserve">Financial close</t>
  </si>
  <si>
    <t xml:space="preserve">DEMO_TODAY</t>
  </si>
  <si>
    <t xml:space="preserve">Covenant DSCR initial</t>
  </si>
  <si>
    <t xml:space="preserve">Covenant DSCR current</t>
  </si>
  <si>
    <t xml:space="preserve">Covenant change effective</t>
  </si>
  <si>
    <t xml:space="preserve">Year</t>
  </si>
  <si>
    <t xml:space="preserve">Base rate % (Term SOFR 6M, fictional)</t>
  </si>
  <si>
    <t xml:space="preserve">Drawdown date</t>
  </si>
  <si>
    <t xml:space="preserve">Amount (USD)</t>
  </si>
  <si>
    <t xml:space="preserve">Period</t>
  </si>
  <si>
    <t xml:space="preserve">End date</t>
  </si>
  <si>
    <t xml:space="preserve">Opening (USD)</t>
  </si>
  <si>
    <t xml:space="preserve">Drawdown (USD)</t>
  </si>
  <si>
    <t xml:space="preserve">Principal (USD)</t>
  </si>
  <si>
    <t xml:space="preserve">All-in rate %</t>
  </si>
  <si>
    <t xml:space="preserve">Interest (USD)</t>
  </si>
  <si>
    <t xml:space="preserve">Closing (USD)</t>
  </si>
  <si>
    <t xml:space="preserve">H2_2022</t>
  </si>
  <si>
    <t xml:space="preserve">H1_2023</t>
  </si>
  <si>
    <t xml:space="preserve">H2_2023</t>
  </si>
  <si>
    <t xml:space="preserve">H1_2024</t>
  </si>
  <si>
    <t xml:space="preserve">H2_2024</t>
  </si>
  <si>
    <t xml:space="preserve">H1_2025</t>
  </si>
  <si>
    <t xml:space="preserve">H2_2025</t>
  </si>
  <si>
    <t xml:space="preserve">H1_2026</t>
  </si>
  <si>
    <t xml:space="preserve">H2_2026</t>
  </si>
  <si>
    <t xml:space="preserve">H1_2027</t>
  </si>
  <si>
    <t xml:space="preserve">H2_2027</t>
  </si>
  <si>
    <t xml:space="preserve">H1_2028</t>
  </si>
  <si>
    <t xml:space="preserve">H2_2028</t>
  </si>
  <si>
    <t xml:space="preserve">H1_2029</t>
  </si>
  <si>
    <t xml:space="preserve">H2_2029</t>
  </si>
  <si>
    <t xml:space="preserve">H1_2030</t>
  </si>
  <si>
    <t xml:space="preserve">H2_2030</t>
  </si>
  <si>
    <t xml:space="preserve">H1_2031</t>
  </si>
  <si>
    <t xml:space="preserve">H2_2031</t>
  </si>
  <si>
    <t xml:space="preserve">H1_2032</t>
  </si>
  <si>
    <t xml:space="preserve">H2_2032</t>
  </si>
  <si>
    <t xml:space="preserve">H1_2033</t>
  </si>
  <si>
    <t xml:space="preserve">H2_2033</t>
  </si>
  <si>
    <t xml:space="preserve">H1_2034</t>
  </si>
  <si>
    <t xml:space="preserve">H2_2034</t>
  </si>
  <si>
    <t xml:space="preserve">Quarter</t>
  </si>
  <si>
    <t xml:space="preserve">Quarter end</t>
  </si>
  <si>
    <t xml:space="preserve">Half</t>
  </si>
  <si>
    <t xml:space="preserve">CFADS (USD)</t>
  </si>
  <si>
    <t xml:space="preserve">Debt service (USD)</t>
  </si>
  <si>
    <t xml:space="preserve">DSCR</t>
  </si>
  <si>
    <t xml:space="preserve">Covenant</t>
  </si>
  <si>
    <t xml:space="preserve">Result</t>
  </si>
  <si>
    <t xml:space="preserve">Q4_2023</t>
  </si>
  <si>
    <t xml:space="preserve">Q1_2024</t>
  </si>
  <si>
    <t xml:space="preserve">Q2_2024</t>
  </si>
  <si>
    <t xml:space="preserve">Q3_2024</t>
  </si>
  <si>
    <t xml:space="preserve">Q4_2024</t>
  </si>
  <si>
    <t xml:space="preserve">Q1_2025</t>
  </si>
  <si>
    <t xml:space="preserve">Q2_2025</t>
  </si>
  <si>
    <t xml:space="preserve">Q3_2025</t>
  </si>
  <si>
    <t xml:space="preserve">Q4_2025</t>
  </si>
  <si>
    <t xml:space="preserve">Q1_2026</t>
  </si>
  <si>
    <t xml:space="preserve">Q2_2026</t>
  </si>
  <si>
    <t xml:space="preserve">Cash to equity (USD)</t>
  </si>
  <si>
    <t xml:space="preserve">Cumulative (USD)</t>
  </si>
  <si>
    <t xml:space="preserve">DEMO — synthetic demo workbook (Company AI V0); figures are fictional</t>
  </si>
  <si>
    <t xml:space="preserve">generated_at</t>
  </si>
  <si>
    <t xml:space="preserve">2026-10-10T19:37:43+00:00</t>
  </si>
  <si>
    <t xml:space="preserve">ledger_schema_version</t>
  </si>
  <si>
    <t xml:space="preserve">demo_today</t>
  </si>
  <si>
    <t xml:space="preserve">2026-10-06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</si>
</sst>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.mm\.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20000000</v>
      </c>
    </row>
    <row r="3" customFormat="false" ht="15" hidden="false" customHeight="false" outlineLevel="0" collapsed="false">
      <c r="A3" s="0" t="s">
        <v>3</v>
      </c>
      <c r="B3" s="0" t="n">
        <v>6400000</v>
      </c>
    </row>
    <row r="4" customFormat="false" ht="15" hidden="false" customHeight="false" outlineLevel="0" collapsed="false">
      <c r="A4" s="0" t="s">
        <v>4</v>
      </c>
      <c r="B4" s="0" t="n">
        <v>13600000</v>
      </c>
    </row>
    <row r="5" customFormat="false" ht="15" hidden="false" customHeight="false" outlineLevel="0" collapsed="false">
      <c r="A5" s="0" t="s">
        <v>5</v>
      </c>
      <c r="B5" s="0" t="n">
        <v>13600000</v>
      </c>
    </row>
    <row r="6" customFormat="false" ht="15" hidden="false" customHeight="false" outlineLevel="0" collapsed="false">
      <c r="A6" s="0" t="s">
        <v>6</v>
      </c>
      <c r="B6" s="0" t="n">
        <v>0</v>
      </c>
    </row>
    <row r="7" customFormat="false" ht="15" hidden="false" customHeight="false" outlineLevel="0" collapsed="false">
      <c r="A7" s="0" t="s">
        <v>7</v>
      </c>
      <c r="B7" s="0" t="n">
        <v>2.9</v>
      </c>
    </row>
    <row r="8" customFormat="false" ht="15" hidden="false" customHeight="false" outlineLevel="0" collapsed="false">
      <c r="A8" s="0" t="s">
        <v>8</v>
      </c>
      <c r="B8" s="0" t="n">
        <v>10</v>
      </c>
    </row>
    <row r="9" customFormat="false" ht="15" hidden="false" customHeight="false" outlineLevel="0" collapsed="false">
      <c r="A9" s="0" t="s">
        <v>9</v>
      </c>
      <c r="B9" s="0" t="n">
        <v>13</v>
      </c>
    </row>
    <row r="10" customFormat="false" ht="15" hidden="false" customHeight="false" outlineLevel="0" collapsed="false">
      <c r="A10" s="0" t="s">
        <v>10</v>
      </c>
      <c r="B10" s="0" t="n">
        <v>13</v>
      </c>
    </row>
    <row r="11" customFormat="false" ht="15" hidden="false" customHeight="false" outlineLevel="0" collapsed="false">
      <c r="A11" s="0" t="s">
        <v>11</v>
      </c>
      <c r="B11" s="1" t="n">
        <v>44525</v>
      </c>
    </row>
    <row r="12" customFormat="false" ht="15" hidden="false" customHeight="false" outlineLevel="0" collapsed="false">
      <c r="A12" s="0" t="s">
        <v>12</v>
      </c>
      <c r="B12" s="1" t="n">
        <v>46301</v>
      </c>
    </row>
    <row r="13" customFormat="false" ht="15" hidden="false" customHeight="false" outlineLevel="0" collapsed="false">
      <c r="A13" s="0" t="s">
        <v>13</v>
      </c>
      <c r="B13" s="0" t="n">
        <v>1.25</v>
      </c>
    </row>
    <row r="14" customFormat="false" ht="15" hidden="false" customHeight="false" outlineLevel="0" collapsed="false">
      <c r="A14" s="0" t="s">
        <v>14</v>
      </c>
      <c r="B14" s="0" t="n">
        <v>1.2</v>
      </c>
    </row>
    <row r="15" customFormat="false" ht="15" hidden="false" customHeight="false" outlineLevel="0" collapsed="false">
      <c r="A15" s="0" t="s">
        <v>15</v>
      </c>
      <c r="B15" s="1" t="n">
        <v>45731</v>
      </c>
    </row>
    <row r="17" customFormat="false" ht="15" hidden="false" customHeight="false" outlineLevel="0" collapsed="false">
      <c r="A17" s="2" t="s">
        <v>16</v>
      </c>
      <c r="B17" s="2" t="s">
        <v>17</v>
      </c>
    </row>
    <row r="18" customFormat="false" ht="15" hidden="false" customHeight="false" outlineLevel="0" collapsed="false">
      <c r="A18" s="0" t="n">
        <v>2022</v>
      </c>
      <c r="B18" s="0" t="n">
        <v>2</v>
      </c>
    </row>
    <row r="19" customFormat="false" ht="15" hidden="false" customHeight="false" outlineLevel="0" collapsed="false">
      <c r="A19" s="0" t="n">
        <v>2023</v>
      </c>
      <c r="B19" s="0" t="n">
        <v>4.8</v>
      </c>
    </row>
    <row r="20" customFormat="false" ht="15" hidden="false" customHeight="false" outlineLevel="0" collapsed="false">
      <c r="A20" s="0" t="n">
        <v>2024</v>
      </c>
      <c r="B20" s="0" t="n">
        <v>5</v>
      </c>
    </row>
    <row r="21" customFormat="false" ht="15" hidden="false" customHeight="false" outlineLevel="0" collapsed="false">
      <c r="A21" s="0" t="n">
        <v>2025</v>
      </c>
      <c r="B21" s="0" t="n">
        <v>4.3</v>
      </c>
    </row>
    <row r="22" customFormat="false" ht="15" hidden="false" customHeight="false" outlineLevel="0" collapsed="false">
      <c r="A22" s="0" t="n">
        <v>2026</v>
      </c>
      <c r="B22" s="0" t="n">
        <v>3.6</v>
      </c>
    </row>
    <row r="23" customFormat="false" ht="15" hidden="false" customHeight="false" outlineLevel="0" collapsed="false">
      <c r="A23" s="0" t="n">
        <v>2027</v>
      </c>
      <c r="B23" s="0" t="n">
        <v>3.2</v>
      </c>
    </row>
    <row r="24" customFormat="false" ht="15" hidden="false" customHeight="false" outlineLevel="0" collapsed="false">
      <c r="A24" s="0" t="n">
        <v>2028</v>
      </c>
      <c r="B24" s="0" t="n">
        <v>3</v>
      </c>
    </row>
    <row r="25" customFormat="false" ht="15" hidden="false" customHeight="false" outlineLevel="0" collapsed="false">
      <c r="A25" s="0" t="n">
        <v>2029</v>
      </c>
      <c r="B25" s="0" t="n">
        <v>3</v>
      </c>
    </row>
    <row r="26" customFormat="false" ht="15" hidden="false" customHeight="false" outlineLevel="0" collapsed="false">
      <c r="A26" s="0" t="n">
        <v>2030</v>
      </c>
      <c r="B26" s="0" t="n">
        <v>3</v>
      </c>
    </row>
    <row r="27" customFormat="false" ht="15" hidden="false" customHeight="false" outlineLevel="0" collapsed="false">
      <c r="A27" s="0" t="n">
        <v>2031</v>
      </c>
      <c r="B27" s="0" t="n">
        <v>3</v>
      </c>
    </row>
    <row r="28" customFormat="false" ht="15" hidden="false" customHeight="false" outlineLevel="0" collapsed="false">
      <c r="A28" s="0" t="n">
        <v>2032</v>
      </c>
      <c r="B28" s="0" t="n">
        <v>3</v>
      </c>
    </row>
    <row r="29" customFormat="false" ht="15" hidden="false" customHeight="false" outlineLevel="0" collapsed="false">
      <c r="A29" s="0" t="n">
        <v>2033</v>
      </c>
      <c r="B29" s="0" t="n">
        <v>3</v>
      </c>
    </row>
    <row r="30" customFormat="false" ht="15" hidden="false" customHeight="false" outlineLevel="0" collapsed="false">
      <c r="A30" s="0" t="n">
        <v>2034</v>
      </c>
      <c r="B30" s="0" t="n">
        <v>3</v>
      </c>
    </row>
    <row r="31" customFormat="false" ht="15" hidden="false" customHeight="false" outlineLevel="0" collapsed="false">
      <c r="A31" s="0" t="n">
        <v>2035</v>
      </c>
      <c r="B31" s="0" t="n">
        <v>3</v>
      </c>
    </row>
    <row r="33" customFormat="false" ht="15" hidden="false" customHeight="false" outlineLevel="0" collapsed="false">
      <c r="A33" s="2" t="s">
        <v>18</v>
      </c>
      <c r="B33" s="2" t="s">
        <v>19</v>
      </c>
    </row>
    <row r="34" customFormat="false" ht="15" hidden="false" customHeight="false" outlineLevel="0" collapsed="false">
      <c r="A34" s="1" t="n">
        <v>44757</v>
      </c>
      <c r="B34" s="0" t="n">
        <v>8000000</v>
      </c>
    </row>
    <row r="35" customFormat="false" ht="15" hidden="false" customHeight="false" outlineLevel="0" collapsed="false">
      <c r="A35" s="1" t="n">
        <v>44941</v>
      </c>
      <c r="B35" s="0" t="n">
        <v>5600000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8" min="1" style="0" width="16"/>
  </cols>
  <sheetData>
    <row r="1" customFormat="false" ht="15" hidden="false" customHeight="false" outlineLevel="0" collapsed="false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</row>
    <row r="2" customFormat="false" ht="15" hidden="false" customHeight="false" outlineLevel="0" collapsed="false">
      <c r="A2" s="0" t="s">
        <v>28</v>
      </c>
      <c r="B2" s="1" t="n">
        <v>44926</v>
      </c>
      <c r="C2" s="0" t="n">
        <v>0</v>
      </c>
      <c r="D2" s="0" t="n">
        <v>8000000</v>
      </c>
      <c r="E2" s="0" t="n">
        <v>0</v>
      </c>
      <c r="F2" s="0" t="n">
        <f aca="false">VLOOKUP(YEAR(B2),Inputs!$A$18:$B$31,2,FALSE())+Inputs_Margin</f>
        <v>4.9</v>
      </c>
      <c r="G2" s="0" t="n">
        <f aca="false">ROUND(C2*F2/100/2,2)</f>
        <v>0</v>
      </c>
      <c r="H2" s="0" t="n">
        <f aca="false">C2+D2-E2</f>
        <v>8000000</v>
      </c>
    </row>
    <row r="3" customFormat="false" ht="15" hidden="false" customHeight="false" outlineLevel="0" collapsed="false">
      <c r="A3" s="0" t="s">
        <v>29</v>
      </c>
      <c r="B3" s="1" t="n">
        <v>45107</v>
      </c>
      <c r="C3" s="0" t="n">
        <f aca="false">H2</f>
        <v>8000000</v>
      </c>
      <c r="D3" s="0" t="n">
        <v>5600000</v>
      </c>
      <c r="E3" s="0" t="n">
        <v>172700</v>
      </c>
      <c r="F3" s="0" t="n">
        <f aca="false">VLOOKUP(YEAR(B3),Inputs!$A$18:$B$31,2,FALSE())+Inputs_Margin</f>
        <v>7.7</v>
      </c>
      <c r="G3" s="0" t="n">
        <f aca="false">ROUND(C3*F3/100/2,2)</f>
        <v>308000</v>
      </c>
      <c r="H3" s="0" t="n">
        <f aca="false">C3+D3-E3</f>
        <v>13427300</v>
      </c>
    </row>
    <row r="4" customFormat="false" ht="15" hidden="false" customHeight="false" outlineLevel="0" collapsed="false">
      <c r="A4" s="0" t="s">
        <v>30</v>
      </c>
      <c r="B4" s="1" t="n">
        <v>45291</v>
      </c>
      <c r="C4" s="0" t="n">
        <f aca="false">H3</f>
        <v>13427300</v>
      </c>
      <c r="D4" s="0" t="n">
        <v>0</v>
      </c>
      <c r="E4" s="0" t="n">
        <v>206900</v>
      </c>
      <c r="F4" s="0" t="n">
        <f aca="false">VLOOKUP(YEAR(B4),Inputs!$A$18:$B$31,2,FALSE())+Inputs_Margin</f>
        <v>7.7</v>
      </c>
      <c r="G4" s="0" t="n">
        <f aca="false">ROUND(C4*F4/100/2,2)</f>
        <v>516951.05</v>
      </c>
      <c r="H4" s="0" t="n">
        <f aca="false">C4+D4-E4</f>
        <v>13220400</v>
      </c>
    </row>
    <row r="5" customFormat="false" ht="15" hidden="false" customHeight="false" outlineLevel="0" collapsed="false">
      <c r="A5" s="0" t="s">
        <v>31</v>
      </c>
      <c r="B5" s="1" t="n">
        <v>45473</v>
      </c>
      <c r="C5" s="0" t="n">
        <f aca="false">H4</f>
        <v>13220400</v>
      </c>
      <c r="D5" s="0" t="n">
        <v>0</v>
      </c>
      <c r="E5" s="0" t="n">
        <v>241200</v>
      </c>
      <c r="F5" s="0" t="n">
        <f aca="false">VLOOKUP(YEAR(B5),Inputs!$A$18:$B$31,2,FALSE())+Inputs_Margin</f>
        <v>7.9</v>
      </c>
      <c r="G5" s="0" t="n">
        <f aca="false">ROUND(C5*F5/100/2,2)</f>
        <v>522205.8</v>
      </c>
      <c r="H5" s="0" t="n">
        <f aca="false">C5+D5-E5</f>
        <v>12979200</v>
      </c>
    </row>
    <row r="6" customFormat="false" ht="15" hidden="false" customHeight="false" outlineLevel="0" collapsed="false">
      <c r="A6" s="0" t="s">
        <v>32</v>
      </c>
      <c r="B6" s="1" t="n">
        <v>45657</v>
      </c>
      <c r="C6" s="0" t="n">
        <f aca="false">H5</f>
        <v>12979200</v>
      </c>
      <c r="D6" s="0" t="n">
        <v>0</v>
      </c>
      <c r="E6" s="0" t="n">
        <v>275500</v>
      </c>
      <c r="F6" s="0" t="n">
        <f aca="false">VLOOKUP(YEAR(B6),Inputs!$A$18:$B$31,2,FALSE())+Inputs_Margin</f>
        <v>7.9</v>
      </c>
      <c r="G6" s="0" t="n">
        <f aca="false">ROUND(C6*F6/100/2,2)</f>
        <v>512678.4</v>
      </c>
      <c r="H6" s="0" t="n">
        <f aca="false">C6+D6-E6</f>
        <v>12703700</v>
      </c>
    </row>
    <row r="7" customFormat="false" ht="15" hidden="false" customHeight="false" outlineLevel="0" collapsed="false">
      <c r="A7" s="0" t="s">
        <v>33</v>
      </c>
      <c r="B7" s="1" t="n">
        <v>45838</v>
      </c>
      <c r="C7" s="0" t="n">
        <f aca="false">H6</f>
        <v>12703700</v>
      </c>
      <c r="D7" s="0" t="n">
        <v>0</v>
      </c>
      <c r="E7" s="0" t="n">
        <v>309700</v>
      </c>
      <c r="F7" s="0" t="n">
        <f aca="false">VLOOKUP(YEAR(B7),Inputs!$A$18:$B$31,2,FALSE())+Inputs_Margin</f>
        <v>7.2</v>
      </c>
      <c r="G7" s="0" t="n">
        <f aca="false">ROUND(C7*F7/100/2,2)</f>
        <v>457333.2</v>
      </c>
      <c r="H7" s="0" t="n">
        <f aca="false">C7+D7-E7</f>
        <v>12394000</v>
      </c>
    </row>
    <row r="8" customFormat="false" ht="15" hidden="false" customHeight="false" outlineLevel="0" collapsed="false">
      <c r="A8" s="0" t="s">
        <v>34</v>
      </c>
      <c r="B8" s="1" t="n">
        <v>46022</v>
      </c>
      <c r="C8" s="0" t="n">
        <f aca="false">H7</f>
        <v>12394000</v>
      </c>
      <c r="D8" s="0" t="n">
        <v>0</v>
      </c>
      <c r="E8" s="0" t="n">
        <v>344000</v>
      </c>
      <c r="F8" s="0" t="n">
        <f aca="false">VLOOKUP(YEAR(B8),Inputs!$A$18:$B$31,2,FALSE())+Inputs_Margin</f>
        <v>7.2</v>
      </c>
      <c r="G8" s="0" t="n">
        <f aca="false">ROUND(C8*F8/100/2,2)</f>
        <v>446184</v>
      </c>
      <c r="H8" s="0" t="n">
        <f aca="false">C8+D8-E8</f>
        <v>12050000</v>
      </c>
    </row>
    <row r="9" customFormat="false" ht="15" hidden="false" customHeight="false" outlineLevel="0" collapsed="false">
      <c r="A9" s="0" t="s">
        <v>35</v>
      </c>
      <c r="B9" s="1" t="n">
        <v>46203</v>
      </c>
      <c r="C9" s="0" t="n">
        <f aca="false">H8</f>
        <v>12050000</v>
      </c>
      <c r="D9" s="0" t="n">
        <v>0</v>
      </c>
      <c r="E9" s="0" t="n">
        <v>378200</v>
      </c>
      <c r="F9" s="0" t="n">
        <f aca="false">VLOOKUP(YEAR(B9),Inputs!$A$18:$B$31,2,FALSE())+Inputs_Margin</f>
        <v>6.5</v>
      </c>
      <c r="G9" s="0" t="n">
        <f aca="false">ROUND(C9*F9/100/2,2)</f>
        <v>391625</v>
      </c>
      <c r="H9" s="0" t="n">
        <f aca="false">C9+D9-E9</f>
        <v>11671800</v>
      </c>
    </row>
    <row r="10" customFormat="false" ht="15" hidden="false" customHeight="false" outlineLevel="0" collapsed="false">
      <c r="A10" s="0" t="s">
        <v>36</v>
      </c>
      <c r="B10" s="1" t="n">
        <v>46387</v>
      </c>
      <c r="C10" s="0" t="n">
        <f aca="false">H9</f>
        <v>11671800</v>
      </c>
      <c r="D10" s="0" t="n">
        <v>0</v>
      </c>
      <c r="E10" s="0" t="n">
        <v>412500</v>
      </c>
      <c r="F10" s="0" t="n">
        <f aca="false">VLOOKUP(YEAR(B10),Inputs!$A$18:$B$31,2,FALSE())+Inputs_Margin</f>
        <v>6.5</v>
      </c>
      <c r="G10" s="0" t="n">
        <f aca="false">ROUND(C10*F10/100/2,2)</f>
        <v>379333.5</v>
      </c>
      <c r="H10" s="0" t="n">
        <f aca="false">C10+D10-E10</f>
        <v>11259300</v>
      </c>
    </row>
    <row r="11" customFormat="false" ht="15" hidden="false" customHeight="false" outlineLevel="0" collapsed="false">
      <c r="A11" s="0" t="s">
        <v>37</v>
      </c>
      <c r="B11" s="1" t="n">
        <v>46568</v>
      </c>
      <c r="C11" s="0" t="n">
        <f aca="false">H10</f>
        <v>11259300</v>
      </c>
      <c r="D11" s="0" t="n">
        <v>0</v>
      </c>
      <c r="E11" s="0" t="n">
        <v>446800</v>
      </c>
      <c r="F11" s="0" t="n">
        <f aca="false">VLOOKUP(YEAR(B11),Inputs!$A$18:$B$31,2,FALSE())+Inputs_Margin</f>
        <v>6.1</v>
      </c>
      <c r="G11" s="0" t="n">
        <f aca="false">ROUND(C11*F11/100/2,2)</f>
        <v>343408.65</v>
      </c>
      <c r="H11" s="0" t="n">
        <f aca="false">C11+D11-E11</f>
        <v>10812500</v>
      </c>
    </row>
    <row r="12" customFormat="false" ht="15" hidden="false" customHeight="false" outlineLevel="0" collapsed="false">
      <c r="A12" s="0" t="s">
        <v>38</v>
      </c>
      <c r="B12" s="1" t="n">
        <v>46752</v>
      </c>
      <c r="C12" s="0" t="n">
        <f aca="false">H11</f>
        <v>10812500</v>
      </c>
      <c r="D12" s="0" t="n">
        <v>0</v>
      </c>
      <c r="E12" s="0" t="n">
        <v>481000</v>
      </c>
      <c r="F12" s="0" t="n">
        <f aca="false">VLOOKUP(YEAR(B12),Inputs!$A$18:$B$31,2,FALSE())+Inputs_Margin</f>
        <v>6.1</v>
      </c>
      <c r="G12" s="0" t="n">
        <f aca="false">ROUND(C12*F12/100/2,2)</f>
        <v>329781.25</v>
      </c>
      <c r="H12" s="0" t="n">
        <f aca="false">C12+D12-E12</f>
        <v>10331500</v>
      </c>
    </row>
    <row r="13" customFormat="false" ht="15" hidden="false" customHeight="false" outlineLevel="0" collapsed="false">
      <c r="A13" s="0" t="s">
        <v>39</v>
      </c>
      <c r="B13" s="1" t="n">
        <v>46934</v>
      </c>
      <c r="C13" s="0" t="n">
        <f aca="false">H12</f>
        <v>10331500</v>
      </c>
      <c r="D13" s="0" t="n">
        <v>0</v>
      </c>
      <c r="E13" s="0" t="n">
        <v>515300</v>
      </c>
      <c r="F13" s="0" t="n">
        <f aca="false">VLOOKUP(YEAR(B13),Inputs!$A$18:$B$31,2,FALSE())+Inputs_Margin</f>
        <v>5.9</v>
      </c>
      <c r="G13" s="0" t="n">
        <f aca="false">ROUND(C13*F13/100/2,2)</f>
        <v>304779.25</v>
      </c>
      <c r="H13" s="0" t="n">
        <f aca="false">C13+D13-E13</f>
        <v>9816200</v>
      </c>
    </row>
    <row r="14" customFormat="false" ht="15" hidden="false" customHeight="false" outlineLevel="0" collapsed="false">
      <c r="A14" s="0" t="s">
        <v>40</v>
      </c>
      <c r="B14" s="1" t="n">
        <v>47118</v>
      </c>
      <c r="C14" s="0" t="n">
        <f aca="false">H13</f>
        <v>9816200</v>
      </c>
      <c r="D14" s="0" t="n">
        <v>0</v>
      </c>
      <c r="E14" s="0" t="n">
        <v>549500</v>
      </c>
      <c r="F14" s="0" t="n">
        <f aca="false">VLOOKUP(YEAR(B14),Inputs!$A$18:$B$31,2,FALSE())+Inputs_Margin</f>
        <v>5.9</v>
      </c>
      <c r="G14" s="0" t="n">
        <f aca="false">ROUND(C14*F14/100/2,2)</f>
        <v>289577.9</v>
      </c>
      <c r="H14" s="0" t="n">
        <f aca="false">C14+D14-E14</f>
        <v>9266700</v>
      </c>
    </row>
    <row r="15" customFormat="false" ht="15" hidden="false" customHeight="false" outlineLevel="0" collapsed="false">
      <c r="A15" s="0" t="s">
        <v>41</v>
      </c>
      <c r="B15" s="1" t="n">
        <v>47299</v>
      </c>
      <c r="C15" s="0" t="n">
        <f aca="false">H14</f>
        <v>9266700</v>
      </c>
      <c r="D15" s="0" t="n">
        <v>0</v>
      </c>
      <c r="E15" s="0" t="n">
        <v>583800</v>
      </c>
      <c r="F15" s="0" t="n">
        <f aca="false">VLOOKUP(YEAR(B15),Inputs!$A$18:$B$31,2,FALSE())+Inputs_Margin</f>
        <v>5.9</v>
      </c>
      <c r="G15" s="0" t="n">
        <f aca="false">ROUND(C15*F15/100/2,2)</f>
        <v>273367.65</v>
      </c>
      <c r="H15" s="0" t="n">
        <f aca="false">C15+D15-E15</f>
        <v>8682900</v>
      </c>
    </row>
    <row r="16" customFormat="false" ht="15" hidden="false" customHeight="false" outlineLevel="0" collapsed="false">
      <c r="A16" s="0" t="s">
        <v>42</v>
      </c>
      <c r="B16" s="1" t="n">
        <v>47483</v>
      </c>
      <c r="C16" s="0" t="n">
        <f aca="false">H15</f>
        <v>8682900</v>
      </c>
      <c r="D16" s="0" t="n">
        <v>0</v>
      </c>
      <c r="E16" s="0" t="n">
        <v>618100</v>
      </c>
      <c r="F16" s="0" t="n">
        <f aca="false">VLOOKUP(YEAR(B16),Inputs!$A$18:$B$31,2,FALSE())+Inputs_Margin</f>
        <v>5.9</v>
      </c>
      <c r="G16" s="0" t="n">
        <f aca="false">ROUND(C16*F16/100/2,2)</f>
        <v>256145.55</v>
      </c>
      <c r="H16" s="0" t="n">
        <f aca="false">C16+D16-E16</f>
        <v>8064800</v>
      </c>
    </row>
    <row r="17" customFormat="false" ht="15" hidden="false" customHeight="false" outlineLevel="0" collapsed="false">
      <c r="A17" s="0" t="s">
        <v>43</v>
      </c>
      <c r="B17" s="1" t="n">
        <v>47664</v>
      </c>
      <c r="C17" s="0" t="n">
        <f aca="false">H16</f>
        <v>8064800</v>
      </c>
      <c r="D17" s="0" t="n">
        <v>0</v>
      </c>
      <c r="E17" s="0" t="n">
        <v>652300</v>
      </c>
      <c r="F17" s="0" t="n">
        <f aca="false">VLOOKUP(YEAR(B17),Inputs!$A$18:$B$31,2,FALSE())+Inputs_Margin</f>
        <v>5.9</v>
      </c>
      <c r="G17" s="0" t="n">
        <f aca="false">ROUND(C17*F17/100/2,2)</f>
        <v>237911.6</v>
      </c>
      <c r="H17" s="0" t="n">
        <f aca="false">C17+D17-E17</f>
        <v>7412500</v>
      </c>
    </row>
    <row r="18" customFormat="false" ht="15" hidden="false" customHeight="false" outlineLevel="0" collapsed="false">
      <c r="A18" s="0" t="s">
        <v>44</v>
      </c>
      <c r="B18" s="1" t="n">
        <v>47848</v>
      </c>
      <c r="C18" s="0" t="n">
        <f aca="false">H17</f>
        <v>7412500</v>
      </c>
      <c r="D18" s="0" t="n">
        <v>0</v>
      </c>
      <c r="E18" s="0" t="n">
        <v>686600</v>
      </c>
      <c r="F18" s="0" t="n">
        <f aca="false">VLOOKUP(YEAR(B18),Inputs!$A$18:$B$31,2,FALSE())+Inputs_Margin</f>
        <v>5.9</v>
      </c>
      <c r="G18" s="0" t="n">
        <f aca="false">ROUND(C18*F18/100/2,2)</f>
        <v>218668.75</v>
      </c>
      <c r="H18" s="0" t="n">
        <f aca="false">C18+D18-E18</f>
        <v>6725900</v>
      </c>
    </row>
    <row r="19" customFormat="false" ht="15" hidden="false" customHeight="false" outlineLevel="0" collapsed="false">
      <c r="A19" s="0" t="s">
        <v>45</v>
      </c>
      <c r="B19" s="1" t="n">
        <v>48029</v>
      </c>
      <c r="C19" s="0" t="n">
        <f aca="false">H18</f>
        <v>6725900</v>
      </c>
      <c r="D19" s="0" t="n">
        <v>0</v>
      </c>
      <c r="E19" s="0" t="n">
        <v>720800</v>
      </c>
      <c r="F19" s="0" t="n">
        <f aca="false">VLOOKUP(YEAR(B19),Inputs!$A$18:$B$31,2,FALSE())+Inputs_Margin</f>
        <v>5.9</v>
      </c>
      <c r="G19" s="0" t="n">
        <f aca="false">ROUND(C19*F19/100/2,2)</f>
        <v>198414.05</v>
      </c>
      <c r="H19" s="0" t="n">
        <f aca="false">C19+D19-E19</f>
        <v>6005100</v>
      </c>
    </row>
    <row r="20" customFormat="false" ht="15" hidden="false" customHeight="false" outlineLevel="0" collapsed="false">
      <c r="A20" s="0" t="s">
        <v>46</v>
      </c>
      <c r="B20" s="1" t="n">
        <v>48213</v>
      </c>
      <c r="C20" s="0" t="n">
        <f aca="false">H19</f>
        <v>6005100</v>
      </c>
      <c r="D20" s="0" t="n">
        <v>0</v>
      </c>
      <c r="E20" s="0" t="n">
        <v>755100</v>
      </c>
      <c r="F20" s="0" t="n">
        <f aca="false">VLOOKUP(YEAR(B20),Inputs!$A$18:$B$31,2,FALSE())+Inputs_Margin</f>
        <v>5.9</v>
      </c>
      <c r="G20" s="0" t="n">
        <f aca="false">ROUND(C20*F20/100/2,2)</f>
        <v>177150.45</v>
      </c>
      <c r="H20" s="0" t="n">
        <f aca="false">C20+D20-E20</f>
        <v>5250000</v>
      </c>
    </row>
    <row r="21" customFormat="false" ht="15" hidden="false" customHeight="false" outlineLevel="0" collapsed="false">
      <c r="A21" s="0" t="s">
        <v>47</v>
      </c>
      <c r="B21" s="1" t="n">
        <v>48395</v>
      </c>
      <c r="C21" s="0" t="n">
        <f aca="false">H20</f>
        <v>5250000</v>
      </c>
      <c r="D21" s="0" t="n">
        <v>0</v>
      </c>
      <c r="E21" s="0" t="n">
        <v>789400</v>
      </c>
      <c r="F21" s="0" t="n">
        <f aca="false">VLOOKUP(YEAR(B21),Inputs!$A$18:$B$31,2,FALSE())+Inputs_Margin</f>
        <v>5.9</v>
      </c>
      <c r="G21" s="0" t="n">
        <f aca="false">ROUND(C21*F21/100/2,2)</f>
        <v>154875</v>
      </c>
      <c r="H21" s="0" t="n">
        <f aca="false">C21+D21-E21</f>
        <v>4460600</v>
      </c>
    </row>
    <row r="22" customFormat="false" ht="15" hidden="false" customHeight="false" outlineLevel="0" collapsed="false">
      <c r="A22" s="0" t="s">
        <v>48</v>
      </c>
      <c r="B22" s="1" t="n">
        <v>48579</v>
      </c>
      <c r="C22" s="0" t="n">
        <f aca="false">H21</f>
        <v>4460600</v>
      </c>
      <c r="D22" s="0" t="n">
        <v>0</v>
      </c>
      <c r="E22" s="0" t="n">
        <v>823600</v>
      </c>
      <c r="F22" s="0" t="n">
        <f aca="false">VLOOKUP(YEAR(B22),Inputs!$A$18:$B$31,2,FALSE())+Inputs_Margin</f>
        <v>5.9</v>
      </c>
      <c r="G22" s="0" t="n">
        <f aca="false">ROUND(C22*F22/100/2,2)</f>
        <v>131587.7</v>
      </c>
      <c r="H22" s="0" t="n">
        <f aca="false">C22+D22-E22</f>
        <v>3637000</v>
      </c>
    </row>
    <row r="23" customFormat="false" ht="15" hidden="false" customHeight="false" outlineLevel="0" collapsed="false">
      <c r="A23" s="0" t="s">
        <v>49</v>
      </c>
      <c r="B23" s="1" t="n">
        <v>48760</v>
      </c>
      <c r="C23" s="0" t="n">
        <f aca="false">H22</f>
        <v>3637000</v>
      </c>
      <c r="D23" s="0" t="n">
        <v>0</v>
      </c>
      <c r="E23" s="0" t="n">
        <v>857900</v>
      </c>
      <c r="F23" s="0" t="n">
        <f aca="false">VLOOKUP(YEAR(B23),Inputs!$A$18:$B$31,2,FALSE())+Inputs_Margin</f>
        <v>5.9</v>
      </c>
      <c r="G23" s="0" t="n">
        <f aca="false">ROUND(C23*F23/100/2,2)</f>
        <v>107291.5</v>
      </c>
      <c r="H23" s="0" t="n">
        <f aca="false">C23+D23-E23</f>
        <v>2779100</v>
      </c>
    </row>
    <row r="24" customFormat="false" ht="15" hidden="false" customHeight="false" outlineLevel="0" collapsed="false">
      <c r="A24" s="0" t="s">
        <v>50</v>
      </c>
      <c r="B24" s="1" t="n">
        <v>48944</v>
      </c>
      <c r="C24" s="0" t="n">
        <f aca="false">H23</f>
        <v>2779100</v>
      </c>
      <c r="D24" s="0" t="n">
        <v>0</v>
      </c>
      <c r="E24" s="0" t="n">
        <v>892100</v>
      </c>
      <c r="F24" s="0" t="n">
        <f aca="false">VLOOKUP(YEAR(B24),Inputs!$A$18:$B$31,2,FALSE())+Inputs_Margin</f>
        <v>5.9</v>
      </c>
      <c r="G24" s="0" t="n">
        <f aca="false">ROUND(C24*F24/100/2,2)</f>
        <v>81983.45</v>
      </c>
      <c r="H24" s="0" t="n">
        <f aca="false">C24+D24-E24</f>
        <v>1887000</v>
      </c>
    </row>
    <row r="25" customFormat="false" ht="15" hidden="false" customHeight="false" outlineLevel="0" collapsed="false">
      <c r="A25" s="0" t="s">
        <v>51</v>
      </c>
      <c r="B25" s="1" t="n">
        <v>49125</v>
      </c>
      <c r="C25" s="0" t="n">
        <f aca="false">H24</f>
        <v>1887000</v>
      </c>
      <c r="D25" s="0" t="n">
        <v>0</v>
      </c>
      <c r="E25" s="0" t="n">
        <v>926400</v>
      </c>
      <c r="F25" s="0" t="n">
        <f aca="false">VLOOKUP(YEAR(B25),Inputs!$A$18:$B$31,2,FALSE())+Inputs_Margin</f>
        <v>5.9</v>
      </c>
      <c r="G25" s="0" t="n">
        <f aca="false">ROUND(C25*F25/100/2,2)</f>
        <v>55666.5</v>
      </c>
      <c r="H25" s="0" t="n">
        <f aca="false">C25+D25-E25</f>
        <v>960600</v>
      </c>
    </row>
    <row r="26" customFormat="false" ht="15" hidden="false" customHeight="false" outlineLevel="0" collapsed="false">
      <c r="A26" s="0" t="s">
        <v>52</v>
      </c>
      <c r="B26" s="1" t="n">
        <v>49309</v>
      </c>
      <c r="C26" s="0" t="n">
        <f aca="false">H25</f>
        <v>960600</v>
      </c>
      <c r="D26" s="0" t="n">
        <v>0</v>
      </c>
      <c r="E26" s="0" t="n">
        <v>960600</v>
      </c>
      <c r="F26" s="0" t="n">
        <f aca="false">VLOOKUP(YEAR(B26),Inputs!$A$18:$B$31,2,FALSE())+Inputs_Margin</f>
        <v>5.9</v>
      </c>
      <c r="G26" s="0" t="n">
        <f aca="false">ROUND(C26*F26/100/2,2)</f>
        <v>28337.7</v>
      </c>
      <c r="H26" s="0" t="n">
        <f aca="false">C26+D26-E26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8" min="1" style="0" width="16"/>
  </cols>
  <sheetData>
    <row r="1" customFormat="false" ht="15" hidden="false" customHeight="false" outlineLevel="0" collapsed="false">
      <c r="A1" s="2" t="s">
        <v>53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</row>
    <row r="2" customFormat="false" ht="15" hidden="false" customHeight="false" outlineLevel="0" collapsed="false">
      <c r="A2" s="0" t="s">
        <v>61</v>
      </c>
      <c r="B2" s="1" t="n">
        <v>45291</v>
      </c>
      <c r="C2" s="0" t="s">
        <v>30</v>
      </c>
      <c r="D2" s="0" t="n">
        <v>513900</v>
      </c>
      <c r="E2" s="0" t="n">
        <f aca="false">(INDEX(Debt!$E$2:$E$26,MATCH(C2,Debt!$A$2:$A$26,0))+INDEX(Debt!$G$2:$G$26,MATCH(C2,Debt!$A$2:$A$26,0)))/2</f>
        <v>361925.525</v>
      </c>
      <c r="F2" s="0" t="n">
        <f aca="false">ROUND(D2/E2,2)</f>
        <v>1.42</v>
      </c>
      <c r="G2" s="0" t="n">
        <f aca="false">IF(B2&gt;=Inputs!$B$15,Inputs!$B$14,Inputs!$B$13)</f>
        <v>1.25</v>
      </c>
      <c r="H2" s="0" t="str">
        <f aca="false">IF(F2&gt;=G2,"pass","fail")</f>
        <v>pass</v>
      </c>
    </row>
    <row r="3" customFormat="false" ht="15" hidden="false" customHeight="false" outlineLevel="0" collapsed="false">
      <c r="A3" s="0" t="s">
        <v>62</v>
      </c>
      <c r="B3" s="1" t="n">
        <v>45382</v>
      </c>
      <c r="C3" s="0" t="s">
        <v>31</v>
      </c>
      <c r="D3" s="0" t="n">
        <v>526800</v>
      </c>
      <c r="E3" s="0" t="n">
        <f aca="false">(INDEX(Debt!$E$2:$E$26,MATCH(C3,Debt!$A$2:$A$26,0))+INDEX(Debt!$G$2:$G$26,MATCH(C3,Debt!$A$2:$A$26,0)))/2</f>
        <v>381702.9</v>
      </c>
      <c r="F3" s="0" t="n">
        <f aca="false">ROUND(D3/E3,2)</f>
        <v>1.38</v>
      </c>
      <c r="G3" s="0" t="n">
        <f aca="false">IF(B3&gt;=Inputs!$B$15,Inputs!$B$14,Inputs!$B$13)</f>
        <v>1.25</v>
      </c>
      <c r="H3" s="0" t="str">
        <f aca="false">IF(F3&gt;=G3,"pass","fail")</f>
        <v>pass</v>
      </c>
    </row>
    <row r="4" customFormat="false" ht="15" hidden="false" customHeight="false" outlineLevel="0" collapsed="false">
      <c r="A4" s="0" t="s">
        <v>63</v>
      </c>
      <c r="B4" s="1" t="n">
        <v>45473</v>
      </c>
      <c r="C4" s="0" t="s">
        <v>31</v>
      </c>
      <c r="D4" s="0" t="n">
        <v>500000</v>
      </c>
      <c r="E4" s="0" t="n">
        <f aca="false">(INDEX(Debt!$E$2:$E$26,MATCH(C4,Debt!$A$2:$A$26,0))+INDEX(Debt!$G$2:$G$26,MATCH(C4,Debt!$A$2:$A$26,0)))/2</f>
        <v>381702.9</v>
      </c>
      <c r="F4" s="0" t="n">
        <f aca="false">ROUND(D4/E4,2)</f>
        <v>1.31</v>
      </c>
      <c r="G4" s="0" t="n">
        <f aca="false">IF(B4&gt;=Inputs!$B$15,Inputs!$B$14,Inputs!$B$13)</f>
        <v>1.25</v>
      </c>
      <c r="H4" s="0" t="str">
        <f aca="false">IF(F4&gt;=G4,"pass","fail")</f>
        <v>pass</v>
      </c>
    </row>
    <row r="5" customFormat="false" ht="15" hidden="false" customHeight="false" outlineLevel="0" collapsed="false">
      <c r="A5" s="0" t="s">
        <v>64</v>
      </c>
      <c r="B5" s="1" t="n">
        <v>45565</v>
      </c>
      <c r="C5" s="0" t="s">
        <v>32</v>
      </c>
      <c r="D5" s="0" t="n">
        <v>500500</v>
      </c>
      <c r="E5" s="0" t="n">
        <f aca="false">(INDEX(Debt!$E$2:$E$26,MATCH(C5,Debt!$A$2:$A$26,0))+INDEX(Debt!$G$2:$G$26,MATCH(C5,Debt!$A$2:$A$26,0)))/2</f>
        <v>394089.2</v>
      </c>
      <c r="F5" s="0" t="n">
        <f aca="false">ROUND(D5/E5,2)</f>
        <v>1.27</v>
      </c>
      <c r="G5" s="0" t="n">
        <f aca="false">IF(B5&gt;=Inputs!$B$15,Inputs!$B$14,Inputs!$B$13)</f>
        <v>1.25</v>
      </c>
      <c r="H5" s="0" t="str">
        <f aca="false">IF(F5&gt;=G5,"pass","fail")</f>
        <v>pass</v>
      </c>
    </row>
    <row r="6" customFormat="false" ht="15" hidden="false" customHeight="false" outlineLevel="0" collapsed="false">
      <c r="A6" s="0" t="s">
        <v>65</v>
      </c>
      <c r="B6" s="1" t="n">
        <v>45657</v>
      </c>
      <c r="C6" s="0" t="s">
        <v>32</v>
      </c>
      <c r="D6" s="0" t="n">
        <v>488700</v>
      </c>
      <c r="E6" s="0" t="n">
        <f aca="false">(INDEX(Debt!$E$2:$E$26,MATCH(C6,Debt!$A$2:$A$26,0))+INDEX(Debt!$G$2:$G$26,MATCH(C6,Debt!$A$2:$A$26,0)))/2</f>
        <v>394089.2</v>
      </c>
      <c r="F6" s="0" t="n">
        <f aca="false">ROUND(D6/E6,2)</f>
        <v>1.24</v>
      </c>
      <c r="G6" s="0" t="n">
        <f aca="false">IF(B6&gt;=Inputs!$B$15,Inputs!$B$14,Inputs!$B$13)</f>
        <v>1.25</v>
      </c>
      <c r="H6" s="0" t="str">
        <f aca="false">IF(F6&gt;=G6,"pass","fail")</f>
        <v>fail</v>
      </c>
    </row>
    <row r="7" customFormat="false" ht="15" hidden="false" customHeight="false" outlineLevel="0" collapsed="false">
      <c r="A7" s="0" t="s">
        <v>66</v>
      </c>
      <c r="B7" s="1" t="n">
        <v>45747</v>
      </c>
      <c r="C7" s="0" t="s">
        <v>33</v>
      </c>
      <c r="D7" s="0" t="n">
        <v>471700</v>
      </c>
      <c r="E7" s="0" t="n">
        <f aca="false">(INDEX(Debt!$E$2:$E$26,MATCH(C7,Debt!$A$2:$A$26,0))+INDEX(Debt!$G$2:$G$26,MATCH(C7,Debt!$A$2:$A$26,0)))/2</f>
        <v>383516.6</v>
      </c>
      <c r="F7" s="0" t="n">
        <f aca="false">ROUND(D7/E7,2)</f>
        <v>1.23</v>
      </c>
      <c r="G7" s="0" t="n">
        <f aca="false">IF(B7&gt;=Inputs!$B$15,Inputs!$B$14,Inputs!$B$13)</f>
        <v>1.2</v>
      </c>
      <c r="H7" s="0" t="str">
        <f aca="false">IF(F7&gt;=G7,"pass","fail")</f>
        <v>pass</v>
      </c>
    </row>
    <row r="8" customFormat="false" ht="15" hidden="false" customHeight="false" outlineLevel="0" collapsed="false">
      <c r="A8" s="0" t="s">
        <v>67</v>
      </c>
      <c r="B8" s="1" t="n">
        <v>45838</v>
      </c>
      <c r="C8" s="0" t="s">
        <v>33</v>
      </c>
      <c r="D8" s="0" t="n">
        <v>494700</v>
      </c>
      <c r="E8" s="0" t="n">
        <f aca="false">(INDEX(Debt!$E$2:$E$26,MATCH(C8,Debt!$A$2:$A$26,0))+INDEX(Debt!$G$2:$G$26,MATCH(C8,Debt!$A$2:$A$26,0)))/2</f>
        <v>383516.6</v>
      </c>
      <c r="F8" s="0" t="n">
        <f aca="false">ROUND(D8/E8,2)</f>
        <v>1.29</v>
      </c>
      <c r="G8" s="0" t="n">
        <f aca="false">IF(B8&gt;=Inputs!$B$15,Inputs!$B$14,Inputs!$B$13)</f>
        <v>1.2</v>
      </c>
      <c r="H8" s="0" t="str">
        <f aca="false">IF(F8&gt;=G8,"pass","fail")</f>
        <v>pass</v>
      </c>
    </row>
    <row r="9" customFormat="false" ht="15" hidden="false" customHeight="false" outlineLevel="0" collapsed="false">
      <c r="A9" s="0" t="s">
        <v>68</v>
      </c>
      <c r="B9" s="1" t="n">
        <v>45930</v>
      </c>
      <c r="C9" s="0" t="s">
        <v>34</v>
      </c>
      <c r="D9" s="0" t="n">
        <v>525500</v>
      </c>
      <c r="E9" s="0" t="n">
        <f aca="false">(INDEX(Debt!$E$2:$E$26,MATCH(C9,Debt!$A$2:$A$26,0))+INDEX(Debt!$G$2:$G$26,MATCH(C9,Debt!$A$2:$A$26,0)))/2</f>
        <v>395092</v>
      </c>
      <c r="F9" s="0" t="n">
        <f aca="false">ROUND(D9/E9,2)</f>
        <v>1.33</v>
      </c>
      <c r="G9" s="0" t="n">
        <f aca="false">IF(B9&gt;=Inputs!$B$15,Inputs!$B$14,Inputs!$B$13)</f>
        <v>1.2</v>
      </c>
      <c r="H9" s="0" t="str">
        <f aca="false">IF(F9&gt;=G9,"pass","fail")</f>
        <v>pass</v>
      </c>
    </row>
    <row r="10" customFormat="false" ht="15" hidden="false" customHeight="false" outlineLevel="0" collapsed="false">
      <c r="A10" s="0" t="s">
        <v>69</v>
      </c>
      <c r="B10" s="1" t="n">
        <v>46022</v>
      </c>
      <c r="C10" s="0" t="s">
        <v>34</v>
      </c>
      <c r="D10" s="0" t="n">
        <v>537300</v>
      </c>
      <c r="E10" s="0" t="n">
        <f aca="false">(INDEX(Debt!$E$2:$E$26,MATCH(C10,Debt!$A$2:$A$26,0))+INDEX(Debt!$G$2:$G$26,MATCH(C10,Debt!$A$2:$A$26,0)))/2</f>
        <v>395092</v>
      </c>
      <c r="F10" s="0" t="n">
        <f aca="false">ROUND(D10/E10,2)</f>
        <v>1.36</v>
      </c>
      <c r="G10" s="0" t="n">
        <f aca="false">IF(B10&gt;=Inputs!$B$15,Inputs!$B$14,Inputs!$B$13)</f>
        <v>1.2</v>
      </c>
      <c r="H10" s="0" t="str">
        <f aca="false">IF(F10&gt;=G10,"pass","fail")</f>
        <v>pass</v>
      </c>
    </row>
    <row r="11" customFormat="false" ht="15" hidden="false" customHeight="false" outlineLevel="0" collapsed="false">
      <c r="A11" s="0" t="s">
        <v>70</v>
      </c>
      <c r="B11" s="1" t="n">
        <v>46112</v>
      </c>
      <c r="C11" s="0" t="s">
        <v>35</v>
      </c>
      <c r="D11" s="0" t="n">
        <v>515800</v>
      </c>
      <c r="E11" s="0" t="n">
        <f aca="false">(INDEX(Debt!$E$2:$E$26,MATCH(C11,Debt!$A$2:$A$26,0))+INDEX(Debt!$G$2:$G$26,MATCH(C11,Debt!$A$2:$A$26,0)))/2</f>
        <v>384912.5</v>
      </c>
      <c r="F11" s="0" t="n">
        <f aca="false">ROUND(D11/E11,2)</f>
        <v>1.34</v>
      </c>
      <c r="G11" s="0" t="n">
        <f aca="false">IF(B11&gt;=Inputs!$B$15,Inputs!$B$14,Inputs!$B$13)</f>
        <v>1.2</v>
      </c>
      <c r="H11" s="0" t="str">
        <f aca="false">IF(F11&gt;=G11,"pass","fail")</f>
        <v>pass</v>
      </c>
    </row>
    <row r="12" customFormat="false" ht="15" hidden="false" customHeight="false" outlineLevel="0" collapsed="false">
      <c r="A12" s="0" t="s">
        <v>71</v>
      </c>
      <c r="B12" s="1" t="n">
        <v>46203</v>
      </c>
      <c r="C12" s="0" t="s">
        <v>35</v>
      </c>
      <c r="D12" s="0" t="n">
        <v>527300</v>
      </c>
      <c r="E12" s="0" t="n">
        <f aca="false">(INDEX(Debt!$E$2:$E$26,MATCH(C12,Debt!$A$2:$A$26,0))+INDEX(Debt!$G$2:$G$26,MATCH(C12,Debt!$A$2:$A$26,0)))/2</f>
        <v>384912.5</v>
      </c>
      <c r="F12" s="0" t="n">
        <f aca="false">ROUND(D12/E12,2)</f>
        <v>1.37</v>
      </c>
      <c r="G12" s="0" t="n">
        <f aca="false">IF(B12&gt;=Inputs!$B$15,Inputs!$B$14,Inputs!$B$13)</f>
        <v>1.2</v>
      </c>
      <c r="H12" s="0" t="str">
        <f aca="false">IF(F12&gt;=G12,"pass","fail")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5" min="1" style="0" width="20"/>
  </cols>
  <sheetData>
    <row r="1" customFormat="false" ht="15" hidden="false" customHeight="false" outlineLevel="0" collapsed="false">
      <c r="A1" s="2" t="s">
        <v>53</v>
      </c>
      <c r="B1" s="2" t="s">
        <v>56</v>
      </c>
      <c r="C1" s="2" t="s">
        <v>57</v>
      </c>
      <c r="D1" s="2" t="s">
        <v>72</v>
      </c>
      <c r="E1" s="2" t="s">
        <v>73</v>
      </c>
    </row>
    <row r="2" customFormat="false" ht="15" hidden="false" customHeight="false" outlineLevel="0" collapsed="false">
      <c r="A2" s="0" t="s">
        <v>61</v>
      </c>
      <c r="B2" s="0" t="n">
        <f aca="false">DSCR!D2</f>
        <v>513900</v>
      </c>
      <c r="C2" s="0" t="n">
        <f aca="false">DSCR!E2</f>
        <v>361925.525</v>
      </c>
      <c r="D2" s="0" t="n">
        <f aca="false">B2-C2</f>
        <v>151974.475</v>
      </c>
      <c r="E2" s="0" t="n">
        <f aca="false">D2</f>
        <v>151974.475</v>
      </c>
    </row>
    <row r="3" customFormat="false" ht="15" hidden="false" customHeight="false" outlineLevel="0" collapsed="false">
      <c r="A3" s="0" t="s">
        <v>62</v>
      </c>
      <c r="B3" s="0" t="n">
        <f aca="false">DSCR!D3</f>
        <v>526800</v>
      </c>
      <c r="C3" s="0" t="n">
        <f aca="false">DSCR!E3</f>
        <v>381702.9</v>
      </c>
      <c r="D3" s="0" t="n">
        <f aca="false">B3-C3</f>
        <v>145097.1</v>
      </c>
      <c r="E3" s="0" t="n">
        <f aca="false">E2+D3</f>
        <v>297071.575</v>
      </c>
    </row>
    <row r="4" customFormat="false" ht="15" hidden="false" customHeight="false" outlineLevel="0" collapsed="false">
      <c r="A4" s="0" t="s">
        <v>63</v>
      </c>
      <c r="B4" s="0" t="n">
        <f aca="false">DSCR!D4</f>
        <v>500000</v>
      </c>
      <c r="C4" s="0" t="n">
        <f aca="false">DSCR!E4</f>
        <v>381702.9</v>
      </c>
      <c r="D4" s="0" t="n">
        <f aca="false">B4-C4</f>
        <v>118297.1</v>
      </c>
      <c r="E4" s="0" t="n">
        <f aca="false">E3+D4</f>
        <v>415368.675</v>
      </c>
    </row>
    <row r="5" customFormat="false" ht="15" hidden="false" customHeight="false" outlineLevel="0" collapsed="false">
      <c r="A5" s="0" t="s">
        <v>64</v>
      </c>
      <c r="B5" s="0" t="n">
        <f aca="false">DSCR!D5</f>
        <v>500500</v>
      </c>
      <c r="C5" s="0" t="n">
        <f aca="false">DSCR!E5</f>
        <v>394089.2</v>
      </c>
      <c r="D5" s="0" t="n">
        <f aca="false">B5-C5</f>
        <v>106410.8</v>
      </c>
      <c r="E5" s="0" t="n">
        <f aca="false">E4+D5</f>
        <v>521779.475</v>
      </c>
    </row>
    <row r="6" customFormat="false" ht="15" hidden="false" customHeight="false" outlineLevel="0" collapsed="false">
      <c r="A6" s="0" t="s">
        <v>65</v>
      </c>
      <c r="B6" s="0" t="n">
        <f aca="false">DSCR!D6</f>
        <v>488700</v>
      </c>
      <c r="C6" s="0" t="n">
        <f aca="false">DSCR!E6</f>
        <v>394089.2</v>
      </c>
      <c r="D6" s="0" t="n">
        <f aca="false">B6-C6</f>
        <v>94610.8</v>
      </c>
      <c r="E6" s="0" t="n">
        <f aca="false">E5+D6</f>
        <v>616390.275</v>
      </c>
    </row>
    <row r="7" customFormat="false" ht="15" hidden="false" customHeight="false" outlineLevel="0" collapsed="false">
      <c r="A7" s="0" t="s">
        <v>66</v>
      </c>
      <c r="B7" s="0" t="n">
        <f aca="false">DSCR!D7</f>
        <v>471700</v>
      </c>
      <c r="C7" s="0" t="n">
        <f aca="false">DSCR!E7</f>
        <v>383516.6</v>
      </c>
      <c r="D7" s="0" t="n">
        <f aca="false">B7-C7</f>
        <v>88183.4</v>
      </c>
      <c r="E7" s="0" t="n">
        <f aca="false">E6+D7</f>
        <v>704573.675</v>
      </c>
    </row>
    <row r="8" customFormat="false" ht="15" hidden="false" customHeight="false" outlineLevel="0" collapsed="false">
      <c r="A8" s="0" t="s">
        <v>67</v>
      </c>
      <c r="B8" s="0" t="n">
        <f aca="false">DSCR!D8</f>
        <v>494700</v>
      </c>
      <c r="C8" s="0" t="n">
        <f aca="false">DSCR!E8</f>
        <v>383516.6</v>
      </c>
      <c r="D8" s="0" t="n">
        <f aca="false">B8-C8</f>
        <v>111183.4</v>
      </c>
      <c r="E8" s="0" t="n">
        <f aca="false">E7+D8</f>
        <v>815757.075</v>
      </c>
    </row>
    <row r="9" customFormat="false" ht="15" hidden="false" customHeight="false" outlineLevel="0" collapsed="false">
      <c r="A9" s="0" t="s">
        <v>68</v>
      </c>
      <c r="B9" s="0" t="n">
        <f aca="false">DSCR!D9</f>
        <v>525500</v>
      </c>
      <c r="C9" s="0" t="n">
        <f aca="false">DSCR!E9</f>
        <v>395092</v>
      </c>
      <c r="D9" s="0" t="n">
        <f aca="false">B9-C9</f>
        <v>130408</v>
      </c>
      <c r="E9" s="0" t="n">
        <f aca="false">E8+D9</f>
        <v>946165.075</v>
      </c>
    </row>
    <row r="10" customFormat="false" ht="15" hidden="false" customHeight="false" outlineLevel="0" collapsed="false">
      <c r="A10" s="0" t="s">
        <v>69</v>
      </c>
      <c r="B10" s="0" t="n">
        <f aca="false">DSCR!D10</f>
        <v>537300</v>
      </c>
      <c r="C10" s="0" t="n">
        <f aca="false">DSCR!E10</f>
        <v>395092</v>
      </c>
      <c r="D10" s="0" t="n">
        <f aca="false">B10-C10</f>
        <v>142208</v>
      </c>
      <c r="E10" s="0" t="n">
        <f aca="false">E9+D10</f>
        <v>1088373.075</v>
      </c>
    </row>
    <row r="11" customFormat="false" ht="15" hidden="false" customHeight="false" outlineLevel="0" collapsed="false">
      <c r="A11" s="0" t="s">
        <v>70</v>
      </c>
      <c r="B11" s="0" t="n">
        <f aca="false">DSCR!D11</f>
        <v>515800</v>
      </c>
      <c r="C11" s="0" t="n">
        <f aca="false">DSCR!E11</f>
        <v>384912.5</v>
      </c>
      <c r="D11" s="0" t="n">
        <f aca="false">B11-C11</f>
        <v>130887.5</v>
      </c>
      <c r="E11" s="0" t="n">
        <f aca="false">E10+D11</f>
        <v>1219260.575</v>
      </c>
    </row>
    <row r="12" customFormat="false" ht="15" hidden="false" customHeight="false" outlineLevel="0" collapsed="false">
      <c r="A12" s="0" t="s">
        <v>71</v>
      </c>
      <c r="B12" s="0" t="n">
        <f aca="false">DSCR!D12</f>
        <v>527300</v>
      </c>
      <c r="C12" s="0" t="n">
        <f aca="false">DSCR!E12</f>
        <v>384912.5</v>
      </c>
      <c r="D12" s="0" t="n">
        <f aca="false">B12-C12</f>
        <v>142387.5</v>
      </c>
      <c r="E12" s="0" t="n">
        <f aca="false">E11+D12</f>
        <v>1361648.075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74</v>
      </c>
    </row>
    <row r="2" customFormat="false" ht="15" hidden="false" customHeight="false" outlineLevel="0" collapsed="false">
      <c r="A2" s="0" t="s">
        <v>75</v>
      </c>
      <c r="B2" s="0" t="s">
        <v>76</v>
      </c>
    </row>
    <row r="3" customFormat="false" ht="15" hidden="false" customHeight="false" outlineLevel="0" collapsed="false">
      <c r="A3" s="0" t="s">
        <v>77</v>
      </c>
      <c r="B3" s="0" t="n">
        <v>1</v>
      </c>
    </row>
    <row r="4" customFormat="false" ht="15" hidden="false" customHeight="false" outlineLevel="0" collapsed="false">
      <c r="A4" s="0" t="s">
        <v>78</v>
      </c>
      <c r="B4" s="0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2026-10-10T19:37:43Z</dcterms:created>
  <dc:creator>openpyxl</dc:creator>
  <dc:description/>
  <dc:language>en-US</dc:language>
  <cp:lastModifiedBy/>
  <dcterms:modified xsi:type="dcterms:W3CDTF">2026-10-10T19:37:43Z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