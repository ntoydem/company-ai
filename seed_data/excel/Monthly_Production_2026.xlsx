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duction" sheetId="1" state="visible" r:id="rId2"/>
    <sheet name="KPI" sheetId="2" state="visible" r:id="rId3"/>
    <sheet name="_meta" sheetId="3" state="hidden" r:id="rId4"/>
  </sheets>
  <definedNames>
    <definedName function="false" hidden="false" name="Capacity_MW" vbProcedure="false">KPI!$B$8</definedName>
    <definedName function="false" hidden="false" name="Ledger_DemoToday" vbProcedure="false">_meta!$B$4</definedName>
    <definedName function="false" hidden="false" name="MWh_Total_2023" vbProcedure="false">KPI!$B$2</definedName>
    <definedName function="false" hidden="false" name="MWh_Total_2024" vbProcedure="false">KPI!$B$3</definedName>
    <definedName function="false" hidden="false" name="MWh_Total_2025" vbProcedure="false">KPI!$B$4</definedName>
    <definedName function="false" hidden="false" name="MWh_Total_2026" vbProcedure="false">KPI!$B$5</definedName>
    <definedName function="false" hidden="false" name="Production_2023_11" vbProcedure="false">Production!$B$2</definedName>
    <definedName function="false" hidden="false" name="Production_2023_12" vbProcedure="false">Production!$B$3</definedName>
    <definedName function="false" hidden="false" name="Production_2024_01" vbProcedure="false">Production!$B$4</definedName>
    <definedName function="false" hidden="false" name="Production_2024_02" vbProcedure="false">Production!$B$5</definedName>
    <definedName function="false" hidden="false" name="Production_2024_03" vbProcedure="false">Production!$B$6</definedName>
    <definedName function="false" hidden="false" name="Production_2024_04" vbProcedure="false">Production!$B$7</definedName>
    <definedName function="false" hidden="false" name="Production_2024_05" vbProcedure="false">Production!$B$8</definedName>
    <definedName function="false" hidden="false" name="Production_2024_06" vbProcedure="false">Production!$B$9</definedName>
    <definedName function="false" hidden="false" name="Production_2024_07" vbProcedure="false">Production!$B$10</definedName>
    <definedName function="false" hidden="false" name="Production_2024_08" vbProcedure="false">Production!$B$11</definedName>
    <definedName function="false" hidden="false" name="Production_2024_09" vbProcedure="false">Production!$B$12</definedName>
    <definedName function="false" hidden="false" name="Production_2024_10" vbProcedure="false">Production!$B$13</definedName>
    <definedName function="false" hidden="false" name="Production_2024_11" vbProcedure="false">Production!$B$14</definedName>
    <definedName function="false" hidden="false" name="Production_2024_12" vbProcedure="false">Production!$B$15</definedName>
    <definedName function="false" hidden="false" name="Production_2025_01" vbProcedure="false">Production!$B$16</definedName>
    <definedName function="false" hidden="false" name="Production_2025_02" vbProcedure="false">Production!$B$17</definedName>
    <definedName function="false" hidden="false" name="Production_2025_03" vbProcedure="false">Production!$B$18</definedName>
    <definedName function="false" hidden="false" name="Production_2025_04" vbProcedure="false">Production!$B$19</definedName>
    <definedName function="false" hidden="false" name="Production_2025_05" vbProcedure="false">Production!$B$20</definedName>
    <definedName function="false" hidden="false" name="Production_2025_06" vbProcedure="false">Production!$B$21</definedName>
    <definedName function="false" hidden="false" name="Production_2025_07" vbProcedure="false">Production!$B$22</definedName>
    <definedName function="false" hidden="false" name="Production_2025_08" vbProcedure="false">Production!$B$23</definedName>
    <definedName function="false" hidden="false" name="Production_2025_09" vbProcedure="false">Production!$B$24</definedName>
    <definedName function="false" hidden="false" name="Production_2025_10" vbProcedure="false">Production!$B$25</definedName>
    <definedName function="false" hidden="false" name="Production_2025_11" vbProcedure="false">Production!$B$26</definedName>
    <definedName function="false" hidden="false" name="Production_2025_12" vbProcedure="false">Production!$B$27</definedName>
    <definedName function="false" hidden="false" name="Production_2026_01" vbProcedure="false">Production!$B$28</definedName>
    <definedName function="false" hidden="false" name="Production_2026_02" vbProcedure="false">Production!$B$29</definedName>
    <definedName function="false" hidden="false" name="Production_2026_03" vbProcedure="false">Production!$B$30</definedName>
    <definedName function="false" hidden="false" name="Production_2026_04" vbProcedure="false">Production!$B$31</definedName>
    <definedName function="false" hidden="false" name="Production_2026_05" vbProcedure="false">Production!$B$32</definedName>
    <definedName function="false" hidden="false" name="Production_2026_06" vbProcedure="false">Production!$B$33</definedName>
    <definedName function="false" hidden="false" name="Production_2026_07" vbProcedure="false">Production!$B$34</definedName>
    <definedName function="false" hidden="false" name="Production_2026_08" vbProcedure="false">Production!$B$35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<sst xmlns="http://schemas.openxmlformats.org/spreadsheetml/2006/main" count="50" uniqueCount="50">
  <si>
    <t xml:space="preserve">Month</t>
  </si>
  <si>
    <t xml:space="preserve">MWh</t>
  </si>
  <si>
    <t xml:space="preserve">Availability %</t>
  </si>
  <si>
    <t xml:space="preserve">Capacity factor %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</si>
  <si>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</si>
  <si>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</si>
  <si>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</si>
  <si>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</si>
  <si>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</si>
  <si>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</si>
  <si>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</si>
  <si>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</si>
  <si>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</si>
  <si>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</si>
  <si>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</si>
  <si>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</si>
  <si>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</si>
  <si>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</si>
  <si>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</si>
  <si>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</si>
  <si>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</si>
  <si>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</si>
  <si>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</si>
  <si>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</si>
  <si>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</si>
  <si>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</si>
  <si>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</si>
  <si>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</si>
  <si>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</si>
  <si>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</si>
  <si>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</si>
  <si>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</si>
  <si>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</si>
  <si>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</si>
  <si>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</si>
  <si>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</si>
  <si>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</si>
  <si>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</si>
  <si>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Year</t>
  </si>
  <si>
    <t xml:space="preserve">Total MWh</t>
  </si>
  <si>
    <t xml:space="preserve">Avg availability %</t>
  </si>
  <si>
    <t xml:space="preserve">Avg capacity factor %</t>
  </si>
  <si>
    <t xml:space="preserve">Months</t>
  </si>
  <si>
    <t xml:space="preserve">Capacity (MW)</t>
  </si>
  <si>
    <t xml:space="preserve">DEMO — synthetic demo workbook (Company AI V0); figures are fictional</t>
  </si>
  <si>
    <t xml:space="preserve">generated_at</t>
  </si>
  <si>
    <t xml:space="preserve">2026-10-10T19:37:43+00:00</t>
  </si>
  <si>
    <t xml:space="preserve">ledger_schema_version</t>
  </si>
  <si>
    <t xml:space="preserve">demo_today</t>
  </si>
  <si>
    <t xml:space="preserve">2026-10-06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</si>
</sst>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14344</v>
      </c>
      <c r="C2" s="0" t="n">
        <v>98.1</v>
      </c>
      <c r="D2" s="0" t="n">
        <v>33.2</v>
      </c>
    </row>
    <row r="3" customFormat="false" ht="15" hidden="false" customHeight="false" outlineLevel="0" collapsed="false">
      <c r="A3" s="0" t="s">
        <v>5</v>
      </c>
      <c r="B3" s="0" t="n">
        <v>17218</v>
      </c>
      <c r="C3" s="0" t="n">
        <v>97.8</v>
      </c>
      <c r="D3" s="0" t="n">
        <v>38.6</v>
      </c>
    </row>
    <row r="4" customFormat="false" ht="15" hidden="false" customHeight="false" outlineLevel="0" collapsed="false">
      <c r="A4" s="0" t="s">
        <v>6</v>
      </c>
      <c r="B4" s="0" t="n">
        <v>16703</v>
      </c>
      <c r="C4" s="0" t="n">
        <v>97</v>
      </c>
      <c r="D4" s="0" t="n">
        <v>37.4</v>
      </c>
    </row>
    <row r="5" customFormat="false" ht="15" hidden="false" customHeight="false" outlineLevel="0" collapsed="false">
      <c r="A5" s="0" t="s">
        <v>7</v>
      </c>
      <c r="B5" s="0" t="n">
        <v>14312</v>
      </c>
      <c r="C5" s="0" t="n">
        <v>96.4</v>
      </c>
      <c r="D5" s="0" t="n">
        <v>34.3</v>
      </c>
    </row>
    <row r="6" customFormat="false" ht="15" hidden="false" customHeight="false" outlineLevel="0" collapsed="false">
      <c r="A6" s="0" t="s">
        <v>8</v>
      </c>
      <c r="B6" s="0" t="n">
        <v>15302</v>
      </c>
      <c r="C6" s="0" t="n">
        <v>96.4</v>
      </c>
      <c r="D6" s="0" t="n">
        <v>34.3</v>
      </c>
    </row>
    <row r="7" customFormat="false" ht="15" hidden="false" customHeight="false" outlineLevel="0" collapsed="false">
      <c r="A7" s="0" t="s">
        <v>9</v>
      </c>
      <c r="B7" s="0" t="n">
        <v>13307</v>
      </c>
      <c r="C7" s="0" t="n">
        <v>97</v>
      </c>
      <c r="D7" s="0" t="n">
        <v>30.8</v>
      </c>
    </row>
    <row r="8" customFormat="false" ht="15" hidden="false" customHeight="false" outlineLevel="0" collapsed="false">
      <c r="A8" s="0" t="s">
        <v>10</v>
      </c>
      <c r="B8" s="0" t="n">
        <v>11748</v>
      </c>
      <c r="C8" s="0" t="n">
        <v>97.8</v>
      </c>
      <c r="D8" s="0" t="n">
        <v>26.3</v>
      </c>
    </row>
    <row r="9" customFormat="false" ht="15" hidden="false" customHeight="false" outlineLevel="0" collapsed="false">
      <c r="A9" s="0" t="s">
        <v>11</v>
      </c>
      <c r="B9" s="0" t="n">
        <v>10598</v>
      </c>
      <c r="C9" s="0" t="n">
        <v>98.1</v>
      </c>
      <c r="D9" s="0" t="n">
        <v>24.5</v>
      </c>
    </row>
    <row r="10" customFormat="false" ht="15" hidden="false" customHeight="false" outlineLevel="0" collapsed="false">
      <c r="A10" s="0" t="s">
        <v>12</v>
      </c>
      <c r="B10" s="0" t="n">
        <v>12553</v>
      </c>
      <c r="C10" s="0" t="n">
        <v>91.4</v>
      </c>
      <c r="D10" s="0" t="n">
        <v>28.1</v>
      </c>
    </row>
    <row r="11" customFormat="false" ht="15" hidden="false" customHeight="false" outlineLevel="0" collapsed="false">
      <c r="A11" s="0" t="s">
        <v>13</v>
      </c>
      <c r="B11" s="0" t="n">
        <v>13983</v>
      </c>
      <c r="C11" s="0" t="n">
        <v>97</v>
      </c>
      <c r="D11" s="0" t="n">
        <v>31.3</v>
      </c>
    </row>
    <row r="12" customFormat="false" ht="15" hidden="false" customHeight="false" outlineLevel="0" collapsed="false">
      <c r="A12" s="0" t="s">
        <v>14</v>
      </c>
      <c r="B12" s="0" t="n">
        <v>11497</v>
      </c>
      <c r="C12" s="0" t="n">
        <v>96.4</v>
      </c>
      <c r="D12" s="0" t="n">
        <v>26.6</v>
      </c>
    </row>
    <row r="13" customFormat="false" ht="15" hidden="false" customHeight="false" outlineLevel="0" collapsed="false">
      <c r="A13" s="0" t="s">
        <v>15</v>
      </c>
      <c r="B13" s="0" t="n">
        <v>13162</v>
      </c>
      <c r="C13" s="0" t="n">
        <v>96.4</v>
      </c>
      <c r="D13" s="0" t="n">
        <v>29.5</v>
      </c>
    </row>
    <row r="14" customFormat="false" ht="15" hidden="false" customHeight="false" outlineLevel="0" collapsed="false">
      <c r="A14" s="0" t="s">
        <v>16</v>
      </c>
      <c r="B14" s="0" t="n">
        <v>14754</v>
      </c>
      <c r="C14" s="0" t="n">
        <v>97</v>
      </c>
      <c r="D14" s="0" t="n">
        <v>34.2</v>
      </c>
    </row>
    <row r="15" customFormat="false" ht="15" hidden="false" customHeight="false" outlineLevel="0" collapsed="false">
      <c r="A15" s="0" t="s">
        <v>17</v>
      </c>
      <c r="B15" s="0" t="n">
        <v>16493</v>
      </c>
      <c r="C15" s="0" t="n">
        <v>97.8</v>
      </c>
      <c r="D15" s="0" t="n">
        <v>36.9</v>
      </c>
    </row>
    <row r="16" customFormat="false" ht="15" hidden="false" customHeight="false" outlineLevel="0" collapsed="false">
      <c r="A16" s="0" t="s">
        <v>18</v>
      </c>
      <c r="B16" s="0" t="n">
        <v>16404</v>
      </c>
      <c r="C16" s="0" t="n">
        <v>98.1</v>
      </c>
      <c r="D16" s="0" t="n">
        <v>36.7</v>
      </c>
    </row>
    <row r="17" customFormat="false" ht="15" hidden="false" customHeight="false" outlineLevel="0" collapsed="false">
      <c r="A17" s="0" t="s">
        <v>19</v>
      </c>
      <c r="B17" s="0" t="n">
        <v>14759</v>
      </c>
      <c r="C17" s="0" t="n">
        <v>97.7</v>
      </c>
      <c r="D17" s="0" t="n">
        <v>36.6</v>
      </c>
    </row>
    <row r="18" customFormat="false" ht="15" hidden="false" customHeight="false" outlineLevel="0" collapsed="false">
      <c r="A18" s="0" t="s">
        <v>20</v>
      </c>
      <c r="B18" s="0" t="n">
        <v>15625</v>
      </c>
      <c r="C18" s="0" t="n">
        <v>97</v>
      </c>
      <c r="D18" s="0" t="n">
        <v>35</v>
      </c>
    </row>
    <row r="19" customFormat="false" ht="15" hidden="false" customHeight="false" outlineLevel="0" collapsed="false">
      <c r="A19" s="0" t="s">
        <v>21</v>
      </c>
      <c r="B19" s="0" t="n">
        <v>12510</v>
      </c>
      <c r="C19" s="0" t="n">
        <v>96.4</v>
      </c>
      <c r="D19" s="0" t="n">
        <v>29</v>
      </c>
    </row>
    <row r="20" customFormat="false" ht="15" hidden="false" customHeight="false" outlineLevel="0" collapsed="false">
      <c r="A20" s="0" t="s">
        <v>22</v>
      </c>
      <c r="B20" s="0" t="n">
        <v>11570</v>
      </c>
      <c r="C20" s="0" t="n">
        <v>96.4</v>
      </c>
      <c r="D20" s="0" t="n">
        <v>25.9</v>
      </c>
    </row>
    <row r="21" customFormat="false" ht="15" hidden="false" customHeight="false" outlineLevel="0" collapsed="false">
      <c r="A21" s="0" t="s">
        <v>23</v>
      </c>
      <c r="B21" s="0" t="n">
        <v>11082</v>
      </c>
      <c r="C21" s="0" t="n">
        <v>97</v>
      </c>
      <c r="D21" s="0" t="n">
        <v>25.7</v>
      </c>
    </row>
    <row r="22" customFormat="false" ht="15" hidden="false" customHeight="false" outlineLevel="0" collapsed="false">
      <c r="A22" s="0" t="s">
        <v>24</v>
      </c>
      <c r="B22" s="0" t="n">
        <v>13259</v>
      </c>
      <c r="C22" s="0" t="n">
        <v>97.8</v>
      </c>
      <c r="D22" s="0" t="n">
        <v>29.7</v>
      </c>
    </row>
    <row r="23" customFormat="false" ht="15" hidden="false" customHeight="false" outlineLevel="0" collapsed="false">
      <c r="A23" s="0" t="s">
        <v>25</v>
      </c>
      <c r="B23" s="0" t="n">
        <v>13417</v>
      </c>
      <c r="C23" s="0" t="n">
        <v>98.1</v>
      </c>
      <c r="D23" s="0" t="n">
        <v>30.1</v>
      </c>
    </row>
    <row r="24" customFormat="false" ht="15" hidden="false" customHeight="false" outlineLevel="0" collapsed="false">
      <c r="A24" s="0" t="s">
        <v>26</v>
      </c>
      <c r="B24" s="0" t="n">
        <v>11981</v>
      </c>
      <c r="C24" s="0" t="n">
        <v>97.7</v>
      </c>
      <c r="D24" s="0" t="n">
        <v>27.7</v>
      </c>
    </row>
    <row r="25" customFormat="false" ht="15" hidden="false" customHeight="false" outlineLevel="0" collapsed="false">
      <c r="A25" s="0" t="s">
        <v>27</v>
      </c>
      <c r="B25" s="0" t="n">
        <v>13842</v>
      </c>
      <c r="C25" s="0" t="n">
        <v>97</v>
      </c>
      <c r="D25" s="0" t="n">
        <v>31</v>
      </c>
    </row>
    <row r="26" customFormat="false" ht="15" hidden="false" customHeight="false" outlineLevel="0" collapsed="false">
      <c r="A26" s="0" t="s">
        <v>28</v>
      </c>
      <c r="B26" s="0" t="n">
        <v>14113</v>
      </c>
      <c r="C26" s="0" t="n">
        <v>96.4</v>
      </c>
      <c r="D26" s="0" t="n">
        <v>32.7</v>
      </c>
    </row>
    <row r="27" customFormat="false" ht="15" hidden="false" customHeight="false" outlineLevel="0" collapsed="false">
      <c r="A27" s="0" t="s">
        <v>29</v>
      </c>
      <c r="B27" s="0" t="n">
        <v>15682</v>
      </c>
      <c r="C27" s="0" t="n">
        <v>96.4</v>
      </c>
      <c r="D27" s="0" t="n">
        <v>35.1</v>
      </c>
    </row>
    <row r="28" customFormat="false" ht="15" hidden="false" customHeight="false" outlineLevel="0" collapsed="false">
      <c r="A28" s="0" t="s">
        <v>30</v>
      </c>
      <c r="B28" s="0" t="n">
        <v>17032</v>
      </c>
      <c r="C28" s="0" t="n">
        <v>97.1</v>
      </c>
      <c r="D28" s="0" t="n">
        <v>38.2</v>
      </c>
    </row>
    <row r="29" customFormat="false" ht="15" hidden="false" customHeight="false" outlineLevel="0" collapsed="false">
      <c r="A29" s="0" t="s">
        <v>31</v>
      </c>
      <c r="B29" s="0" t="n">
        <v>15108</v>
      </c>
      <c r="C29" s="0" t="n">
        <v>97.8</v>
      </c>
      <c r="D29" s="0" t="n">
        <v>37.5</v>
      </c>
    </row>
    <row r="30" customFormat="false" ht="15" hidden="false" customHeight="false" outlineLevel="0" collapsed="false">
      <c r="A30" s="0" t="s">
        <v>32</v>
      </c>
      <c r="B30" s="0" t="n">
        <v>14991</v>
      </c>
      <c r="C30" s="0" t="n">
        <v>98.1</v>
      </c>
      <c r="D30" s="0" t="n">
        <v>33.6</v>
      </c>
    </row>
    <row r="31" customFormat="false" ht="15" hidden="false" customHeight="false" outlineLevel="0" collapsed="false">
      <c r="A31" s="0" t="s">
        <v>33</v>
      </c>
      <c r="B31" s="0" t="n">
        <v>12561</v>
      </c>
      <c r="C31" s="0" t="n">
        <v>97.7</v>
      </c>
      <c r="D31" s="0" t="n">
        <v>29.1</v>
      </c>
    </row>
    <row r="32" customFormat="false" ht="15" hidden="false" customHeight="false" outlineLevel="0" collapsed="false">
      <c r="A32" s="0" t="s">
        <v>34</v>
      </c>
      <c r="B32" s="0" t="n">
        <v>12304</v>
      </c>
      <c r="C32" s="0" t="n">
        <v>96.9</v>
      </c>
      <c r="D32" s="0" t="n">
        <v>27.6</v>
      </c>
    </row>
    <row r="33" customFormat="false" ht="15" hidden="false" customHeight="false" outlineLevel="0" collapsed="false">
      <c r="A33" s="0" t="s">
        <v>35</v>
      </c>
      <c r="B33" s="0" t="n">
        <v>10951</v>
      </c>
      <c r="C33" s="0" t="n">
        <v>96.4</v>
      </c>
      <c r="D33" s="0" t="n">
        <v>25.4</v>
      </c>
    </row>
    <row r="34" customFormat="false" ht="15" hidden="false" customHeight="false" outlineLevel="0" collapsed="false">
      <c r="A34" s="0" t="s">
        <v>36</v>
      </c>
      <c r="B34" s="0" t="n">
        <v>12373</v>
      </c>
      <c r="C34" s="0" t="n">
        <v>96.4</v>
      </c>
      <c r="D34" s="0" t="n">
        <v>27.7</v>
      </c>
    </row>
    <row r="35" customFormat="false" ht="15" hidden="false" customHeight="false" outlineLevel="0" collapsed="false">
      <c r="A35" s="0" t="s">
        <v>37</v>
      </c>
      <c r="B35" s="0" t="n">
        <v>13538</v>
      </c>
      <c r="C35" s="0" t="n">
        <v>97.1</v>
      </c>
      <c r="D35" s="0" t="n">
        <v>30.3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customFormat="false" ht="15" hidden="false" customHeight="false" outlineLevel="0" collapsed="false">
      <c r="A2" s="0" t="n">
        <v>2023</v>
      </c>
      <c r="B2" s="0" t="n">
        <f aca="false">SUMIF(Production!$A$2:$A$35,"2023-*",Production!$B$2:$B$35)</f>
        <v>31562</v>
      </c>
      <c r="C2" s="0" t="n">
        <f aca="false">ROUND(AVERAGEIF(Production!$A$2:$A$35,"2023-*",Production!$C$2:$C$35),1)</f>
        <v>98</v>
      </c>
      <c r="D2" s="0" t="n">
        <f aca="false">ROUND(AVERAGEIF(Production!$A$2:$A$35,"2023-*",Production!$D$2:$D$35),1)</f>
        <v>35.9</v>
      </c>
      <c r="E2" s="0" t="n">
        <f aca="false">COUNTIF(Production!$A$2:$A$35,"2023-*")</f>
        <v>2</v>
      </c>
    </row>
    <row r="3" customFormat="false" ht="15" hidden="false" customHeight="false" outlineLevel="0" collapsed="false">
      <c r="A3" s="0" t="n">
        <v>2024</v>
      </c>
      <c r="B3" s="0" t="n">
        <f aca="false">SUMIF(Production!$A$2:$A$35,"2024-*",Production!$B$2:$B$35)</f>
        <v>164412</v>
      </c>
      <c r="C3" s="0" t="n">
        <f aca="false">ROUND(AVERAGEIF(Production!$A$2:$A$35,"2024-*",Production!$C$2:$C$35),1)</f>
        <v>96.6</v>
      </c>
      <c r="D3" s="0" t="n">
        <f aca="false">ROUND(AVERAGEIF(Production!$A$2:$A$35,"2024-*",Production!$D$2:$D$35),1)</f>
        <v>31.2</v>
      </c>
      <c r="E3" s="0" t="n">
        <f aca="false">COUNTIF(Production!$A$2:$A$35,"2024-*")</f>
        <v>12</v>
      </c>
    </row>
    <row r="4" customFormat="false" ht="15" hidden="false" customHeight="false" outlineLevel="0" collapsed="false">
      <c r="A4" s="0" t="n">
        <v>2025</v>
      </c>
      <c r="B4" s="0" t="n">
        <f aca="false">SUMIF(Production!$A$2:$A$35,"2025-*",Production!$B$2:$B$35)</f>
        <v>164244</v>
      </c>
      <c r="C4" s="0" t="n">
        <f aca="false">ROUND(AVERAGEIF(Production!$A$2:$A$35,"2025-*",Production!$C$2:$C$35),1)</f>
        <v>97.2</v>
      </c>
      <c r="D4" s="0" t="n">
        <f aca="false">ROUND(AVERAGEIF(Production!$A$2:$A$35,"2025-*",Production!$D$2:$D$35),1)</f>
        <v>31.3</v>
      </c>
      <c r="E4" s="0" t="n">
        <f aca="false">COUNTIF(Production!$A$2:$A$35,"2025-*")</f>
        <v>12</v>
      </c>
    </row>
    <row r="5" customFormat="false" ht="15" hidden="false" customHeight="false" outlineLevel="0" collapsed="false">
      <c r="A5" s="0" t="n">
        <v>2026</v>
      </c>
      <c r="B5" s="0" t="n">
        <f aca="false">SUMIF(Production!$A$2:$A$35,"2026-*",Production!$B$2:$B$35)</f>
        <v>108858</v>
      </c>
      <c r="C5" s="0" t="n">
        <f aca="false">ROUND(AVERAGEIF(Production!$A$2:$A$35,"2026-*",Production!$C$2:$C$35),1)</f>
        <v>97.2</v>
      </c>
      <c r="D5" s="0" t="n">
        <f aca="false">ROUND(AVERAGEIF(Production!$A$2:$A$35,"2026-*",Production!$D$2:$D$35),1)</f>
        <v>31.2</v>
      </c>
      <c r="E5" s="0" t="n">
        <f aca="false">COUNTIF(Production!$A$2:$A$35,"2026-*")</f>
        <v>8</v>
      </c>
    </row>
    <row r="8" customFormat="false" ht="15" hidden="false" customHeight="false" outlineLevel="0" collapsed="false">
      <c r="A8" s="0" t="s">
        <v>43</v>
      </c>
      <c r="B8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44</v>
      </c>
    </row>
    <row r="2" customFormat="false" ht="15" hidden="false" customHeight="false" outlineLevel="0" collapsed="false">
      <c r="A2" s="0" t="s">
        <v>45</v>
      </c>
      <c r="B2" s="0" t="s">
        <v>46</v>
      </c>
    </row>
    <row r="3" customFormat="false" ht="15" hidden="false" customHeight="false" outlineLevel="0" collapsed="false">
      <c r="A3" s="0" t="s">
        <v>47</v>
      </c>
      <c r="B3" s="0" t="n">
        <v>1</v>
      </c>
    </row>
    <row r="4" customFormat="false" ht="15" hidden="false" customHeight="false" outlineLevel="0" collapsed="false">
      <c r="A4" s="0" t="s">
        <v>48</v>
      </c>
      <c r="B4" s="0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2026-10-10T19:37:43Z</dcterms:created>
  <dc:creator>openpyxl</dc:creator>
  <dc:description/>
  <dc:language>en-US</dc:language>
  <cp:lastModifiedBy/>
  <dcterms:modified xsi:type="dcterms:W3CDTF">2026-10-10T19:37:43Z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