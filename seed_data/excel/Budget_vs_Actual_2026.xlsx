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_meta" sheetId="2" state="hidden" r:id="rId3"/>
  </sheets>
  <definedNames>
    <definedName function="false" hidden="false" name="Actual_Q1_2024" vbProcedure="false">Summary!$C$3</definedName>
    <definedName function="false" hidden="false" name="Actual_Q1_2025" vbProcedure="false">Summary!$C$7</definedName>
    <definedName function="false" hidden="false" name="Actual_Q1_2026" vbProcedure="false">Summary!$C$11</definedName>
    <definedName function="false" hidden="false" name="Actual_Q2_2024" vbProcedure="false">Summary!$C$4</definedName>
    <definedName function="false" hidden="false" name="Actual_Q2_2025" vbProcedure="false">Summary!$C$8</definedName>
    <definedName function="false" hidden="false" name="Actual_Q2_2026" vbProcedure="false">Summary!$C$12</definedName>
    <definedName function="false" hidden="false" name="Actual_Q3_2024" vbProcedure="false">Summary!$C$5</definedName>
    <definedName function="false" hidden="false" name="Actual_Q3_2025" vbProcedure="false">Summary!$C$9</definedName>
    <definedName function="false" hidden="false" name="Actual_Q4_2023" vbProcedure="false">Summary!$C$2</definedName>
    <definedName function="false" hidden="false" name="Actual_Q4_2024" vbProcedure="false">Summary!$C$6</definedName>
    <definedName function="false" hidden="false" name="Actual_Q4_2025" vbProcedure="false">Summary!$C$10</definedName>
    <definedName function="false" hidden="false" name="Budget_Q1_2024" vbProcedure="false">Summary!$B$3</definedName>
    <definedName function="false" hidden="false" name="Budget_Q1_2025" vbProcedure="false">Summary!$B$7</definedName>
    <definedName function="false" hidden="false" name="Budget_Q1_2026" vbProcedure="false">Summary!$B$11</definedName>
    <definedName function="false" hidden="false" name="Budget_Q2_2024" vbProcedure="false">Summary!$B$4</definedName>
    <definedName function="false" hidden="false" name="Budget_Q2_2025" vbProcedure="false">Summary!$B$8</definedName>
    <definedName function="false" hidden="false" name="Budget_Q2_2026" vbProcedure="false">Summary!$B$12</definedName>
    <definedName function="false" hidden="false" name="Budget_Q3_2024" vbProcedure="false">Summary!$B$5</definedName>
    <definedName function="false" hidden="false" name="Budget_Q3_2025" vbProcedure="false">Summary!$B$9</definedName>
    <definedName function="false" hidden="false" name="Budget_Q4_2023" vbProcedure="false">Summary!$B$2</definedName>
    <definedName function="false" hidden="false" name="Budget_Q4_2024" vbProcedure="false">Summary!$B$6</definedName>
    <definedName function="false" hidden="false" name="Budget_Q4_2025" vbProcedure="false">Summary!$B$10</definedName>
    <definedName function="false" hidden="false" name="Ledger_DemoToday" vbProcedure="false">_meta!$B$4</definedName>
    <definedName function="false" hidden="false" name="Variance_Q1_2024" vbProcedure="false">Summary!$D$3</definedName>
    <definedName function="false" hidden="false" name="Variance_Q1_2025" vbProcedure="false">Summary!$D$7</definedName>
    <definedName function="false" hidden="false" name="Variance_Q1_2026" vbProcedure="false">Summary!$D$11</definedName>
    <definedName function="false" hidden="false" name="Variance_Q2_2024" vbProcedure="false">Summary!$D$4</definedName>
    <definedName function="false" hidden="false" name="Variance_Q2_2025" vbProcedure="false">Summary!$D$8</definedName>
    <definedName function="false" hidden="false" name="Variance_Q2_2026" vbProcedure="false">Summary!$D$12</definedName>
    <definedName function="false" hidden="false" name="Variance_Q3_2024" vbProcedure="false">Summary!$D$5</definedName>
    <definedName function="false" hidden="false" name="Variance_Q3_2025" vbProcedure="false">Summary!$D$9</definedName>
    <definedName function="false" hidden="false" name="Variance_Q4_2023" vbProcedure="false">Summary!$D$2</definedName>
    <definedName function="false" hidden="false" name="Variance_Q4_2024" vbProcedure="false">Summary!$D$6</definedName>
    <definedName function="false" hidden="false" name="Variance_Q4_2025" vbProcedure="false">Summary!$D$10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<sst xmlns="http://schemas.openxmlformats.org/spreadsheetml/2006/main" count="23" uniqueCount="23">
  <si>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Quarter</t>
  </si>
  <si>
    <t xml:space="preserve">Budget (TRY)</t>
  </si>
  <si>
    <t xml:space="preserve">Actual (TRY)</t>
  </si>
  <si>
    <t xml:space="preserve">Variance (TRY)</t>
  </si>
  <si>
    <t xml:space="preserve">Variance %</t>
  </si>
  <si>
    <t xml:space="preserve">Q4_2023</t>
  </si>
  <si>
    <t xml:space="preserve">Q1_2024</t>
  </si>
  <si>
    <t xml:space="preserve">Q2_2024</t>
  </si>
  <si>
    <t xml:space="preserve">Q3_2024</t>
  </si>
  <si>
    <t xml:space="preserve">Q4_2024</t>
  </si>
  <si>
    <t xml:space="preserve">Q1_2025</t>
  </si>
  <si>
    <t xml:space="preserve">Q2_2025</t>
  </si>
  <si>
    <t xml:space="preserve">Q3_2025</t>
  </si>
  <si>
    <t xml:space="preserve">Q4_2025</t>
  </si>
  <si>
    <t xml:space="preserve">Q1_2026</t>
  </si>
  <si>
    <t xml:space="preserve">Q2_2026</t>
  </si>
  <si>
    <t xml:space="preserve">Total</t>
  </si>
  <si>
    <t xml:space="preserve">DEMO — synthetic demo workbook (Company AI V0); figures are fictional</t>
  </si>
  <si>
    <t xml:space="preserve">generated_at</t>
  </si>
  <si>
    <t xml:space="preserve">2026-10-11T07:14:19+00:00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</si>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</sst>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18500000</v>
      </c>
      <c r="C2" s="0" t="n">
        <v>18500000</v>
      </c>
      <c r="D2" s="0" t="n">
        <f aca="false">C2-B2</f>
        <v>0</v>
      </c>
      <c r="E2" s="0" t="n">
        <f aca="false">ROUND(D2/B2,4)</f>
        <v>0</v>
      </c>
    </row>
    <row r="3" customFormat="false" ht="15" hidden="false" customHeight="false" outlineLevel="0" collapsed="false">
      <c r="A3" s="0" t="s">
        <v>6</v>
      </c>
      <c r="B3" s="0" t="n">
        <v>26000000</v>
      </c>
      <c r="C3" s="0" t="n">
        <v>27253000</v>
      </c>
      <c r="D3" s="0" t="n">
        <f aca="false">C3-B3</f>
        <v>1253000</v>
      </c>
      <c r="E3" s="0" t="n">
        <f aca="false">ROUND(D3/B3,4)</f>
        <v>0.0482</v>
      </c>
    </row>
    <row r="4" customFormat="false" ht="15" hidden="false" customHeight="false" outlineLevel="0" collapsed="false">
      <c r="A4" s="0" t="s">
        <v>7</v>
      </c>
      <c r="B4" s="0" t="n">
        <v>26000000</v>
      </c>
      <c r="C4" s="0" t="n">
        <v>26670000</v>
      </c>
      <c r="D4" s="0" t="n">
        <f aca="false">C4-B4</f>
        <v>670000</v>
      </c>
      <c r="E4" s="0" t="n">
        <f aca="false">ROUND(D4/B4,4)</f>
        <v>0.0258</v>
      </c>
    </row>
    <row r="5" customFormat="false" ht="15" hidden="false" customHeight="false" outlineLevel="0" collapsed="false">
      <c r="A5" s="0" t="s">
        <v>8</v>
      </c>
      <c r="B5" s="0" t="n">
        <v>26000000</v>
      </c>
      <c r="C5" s="0" t="n">
        <v>25106000</v>
      </c>
      <c r="D5" s="0" t="n">
        <f aca="false">C5-B5</f>
        <v>-894000</v>
      </c>
      <c r="E5" s="0" t="n">
        <f aca="false">ROUND(D5/B5,4)</f>
        <v>-0.0344</v>
      </c>
    </row>
    <row r="6" customFormat="false" ht="15" hidden="false" customHeight="false" outlineLevel="0" collapsed="false">
      <c r="A6" s="0" t="s">
        <v>9</v>
      </c>
      <c r="B6" s="0" t="n">
        <v>26000000</v>
      </c>
      <c r="C6" s="0" t="n">
        <v>24852000</v>
      </c>
      <c r="D6" s="0" t="n">
        <f aca="false">C6-B6</f>
        <v>-1148000</v>
      </c>
      <c r="E6" s="0" t="n">
        <f aca="false">ROUND(D6/B6,4)</f>
        <v>-0.0442</v>
      </c>
    </row>
    <row r="7" customFormat="false" ht="15" hidden="false" customHeight="false" outlineLevel="0" collapsed="false">
      <c r="A7" s="0" t="s">
        <v>10</v>
      </c>
      <c r="B7" s="0" t="n">
        <v>34500000</v>
      </c>
      <c r="C7" s="0" t="n">
        <v>34871000</v>
      </c>
      <c r="D7" s="0" t="n">
        <f aca="false">C7-B7</f>
        <v>371000</v>
      </c>
      <c r="E7" s="0" t="n">
        <f aca="false">ROUND(D7/B7,4)</f>
        <v>0.0108</v>
      </c>
    </row>
    <row r="8" customFormat="false" ht="15" hidden="false" customHeight="false" outlineLevel="0" collapsed="false">
      <c r="A8" s="0" t="s">
        <v>11</v>
      </c>
      <c r="B8" s="0" t="n">
        <v>34500000</v>
      </c>
      <c r="C8" s="0" t="n">
        <v>36222000</v>
      </c>
      <c r="D8" s="0" t="n">
        <f aca="false">C8-B8</f>
        <v>1722000</v>
      </c>
      <c r="E8" s="0" t="n">
        <f aca="false">ROUND(D8/B8,4)</f>
        <v>0.0499</v>
      </c>
    </row>
    <row r="9" customFormat="false" ht="15" hidden="false" customHeight="false" outlineLevel="0" collapsed="false">
      <c r="A9" s="0" t="s">
        <v>12</v>
      </c>
      <c r="B9" s="0" t="n">
        <v>34500000</v>
      </c>
      <c r="C9" s="0" t="n">
        <v>35050000</v>
      </c>
      <c r="D9" s="0" t="n">
        <f aca="false">C9-B9</f>
        <v>550000</v>
      </c>
      <c r="E9" s="0" t="n">
        <f aca="false">ROUND(D9/B9,4)</f>
        <v>0.0159</v>
      </c>
    </row>
    <row r="10" customFormat="false" ht="15" hidden="false" customHeight="false" outlineLevel="0" collapsed="false">
      <c r="A10" s="0" t="s">
        <v>13</v>
      </c>
      <c r="B10" s="0" t="n">
        <v>34500000</v>
      </c>
      <c r="C10" s="0" t="n">
        <v>33072000</v>
      </c>
      <c r="D10" s="0" t="n">
        <f aca="false">C10-B10</f>
        <v>-1428000</v>
      </c>
      <c r="E10" s="0" t="n">
        <f aca="false">ROUND(D10/B10,4)</f>
        <v>-0.0414</v>
      </c>
    </row>
    <row r="11" customFormat="false" ht="15" hidden="false" customHeight="false" outlineLevel="0" collapsed="false">
      <c r="A11" s="0" t="s">
        <v>14</v>
      </c>
      <c r="B11" s="0" t="n">
        <v>42000000</v>
      </c>
      <c r="C11" s="0" t="n">
        <v>40400000</v>
      </c>
      <c r="D11" s="0" t="n">
        <f aca="false">C11-B11</f>
        <v>-1600000</v>
      </c>
      <c r="E11" s="0" t="n">
        <f aca="false">ROUND(D11/B11,4)</f>
        <v>-0.0381</v>
      </c>
    </row>
    <row r="12" customFormat="false" ht="15" hidden="false" customHeight="false" outlineLevel="0" collapsed="false">
      <c r="A12" s="0" t="s">
        <v>15</v>
      </c>
      <c r="B12" s="0" t="n">
        <v>42000000</v>
      </c>
      <c r="C12" s="0" t="n">
        <v>42882000</v>
      </c>
      <c r="D12" s="0" t="n">
        <f aca="false">C12-B12</f>
        <v>882000</v>
      </c>
      <c r="E12" s="0" t="n">
        <f aca="false">ROUND(D12/B12,4)</f>
        <v>0.021</v>
      </c>
    </row>
    <row r="13" customFormat="false" ht="15" hidden="false" customHeight="false" outlineLevel="0" collapsed="false">
      <c r="A13" s="1" t="s">
        <v>16</v>
      </c>
      <c r="B13" s="0" t="n">
        <f aca="false">SUM(B2:B12)</f>
        <v>344500000</v>
      </c>
      <c r="C13" s="0" t="n">
        <f aca="false">SUM(C2:C12)</f>
        <v>344878000</v>
      </c>
      <c r="D13" s="0" t="n">
        <f aca="false">C13-B13</f>
        <v>378000</v>
      </c>
      <c r="E13" s="0" t="n">
        <f aca="false">ROUND(D13/B13,4)</f>
        <v>0.0011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</row>
    <row r="3" customFormat="false" ht="15" hidden="false" customHeight="false" outlineLevel="0" collapsed="false">
      <c r="A3" s="0" t="s">
        <v>20</v>
      </c>
      <c r="B3" s="0" t="n">
        <v>1</v>
      </c>
    </row>
    <row r="4" customFormat="false" ht="15" hidden="false" customHeight="false" outlineLevel="0" collapsed="false">
      <c r="A4" s="0" t="s">
        <v>21</v>
      </c>
      <c r="B4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2026-10-11T07:14:19Z</dcterms:created>
  <dc:creator>openpyxl</dc:creator>
  <dc:description/>
  <dc:language>en-US</dc:language>
  <cp:lastModifiedBy/>
  <dcterms:modified xsi:type="dcterms:W3CDTF">2026-10-11T07:14:19Z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